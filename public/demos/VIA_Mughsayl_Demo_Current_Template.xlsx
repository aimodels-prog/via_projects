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Project" sheetId="2" state="visible" r:id="rId2"/>
    <sheet name="Contract_Dates" sheetId="3" state="visible" r:id="rId3"/>
    <sheet name="Progress_Finance" sheetId="4" state="visible" r:id="rId4"/>
    <sheet name="Activities" sheetId="5" state="visible" r:id="rId5"/>
    <sheet name="Monthly_Schedule" sheetId="6" state="visible" r:id="rId6"/>
    <sheet name="Resources" sheetId="7" state="visible" r:id="rId7"/>
    <sheet name="Scope_Layers" sheetId="8" state="visible" r:id="rId8"/>
    <sheet name="Status_Updates" sheetId="9" state="visible" r:id="rId9"/>
    <sheet name="Contacts" sheetId="10" state="visible" r:id="rId10"/>
    <sheet name="Assets" sheetId="11" state="visible" r:id="rId11"/>
    <sheet name="Checks" sheetId="12" state="visible" r:id="rId12"/>
  </sheets>
  <definedNames>
    <definedName name="_xlnm.Print_Titles" localSheetId="0">'Read_Me'!$1:$3</definedName>
    <definedName name="_xlnm.Print_Titles" localSheetId="1">'Project'!$1:$3</definedName>
    <definedName name="_xlnm.Print_Titles" localSheetId="2">'Contract_Dates'!$1:$3</definedName>
    <definedName name="_xlnm.Print_Titles" localSheetId="3">'Progress_Finance'!$1:$3</definedName>
    <definedName name="_xlnm.Print_Titles" localSheetId="4">'Activities'!$1:$3</definedName>
    <definedName name="_xlnm.Print_Titles" localSheetId="5">'Monthly_Schedule'!$1:$3</definedName>
    <definedName name="_xlnm.Print_Titles" localSheetId="6">'Resources'!$1:$3</definedName>
    <definedName name="_xlnm.Print_Titles" localSheetId="7">'Scope_Layers'!$1:$3</definedName>
    <definedName name="_xlnm.Print_Titles" localSheetId="8">'Status_Updates'!$1:$3</definedName>
    <definedName name="_xlnm.Print_Titles" localSheetId="9">'Contacts'!$1:$3</definedName>
    <definedName name="_xlnm.Print_Titles" localSheetId="10">'Assets'!$1:$3</definedName>
    <definedName name="_xlnm.Print_Titles" localSheetId="11">'Checks'!$1:$3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m yyyy"/>
    <numFmt numFmtId="165" formatCode="yyyy-mm-dd"/>
    <numFmt numFmtId="166" formatCode="#,##0.000"/>
    <numFmt numFmtId="167" formatCode="0.00&quot;%&quot;"/>
    <numFmt numFmtId="168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name val="Calibri"/>
      <color rgb="0016324F"/>
      <sz val="11"/>
    </font>
  </fonts>
  <fills count="6">
    <fill>
      <patternFill/>
    </fill>
    <fill>
      <patternFill patternType="gray125"/>
    </fill>
    <fill>
      <patternFill patternType="solid">
        <fgColor rgb="0015354A"/>
      </patternFill>
    </fill>
    <fill>
      <patternFill patternType="solid">
        <fgColor rgb="00EAF3FF"/>
      </patternFill>
    </fill>
    <fill>
      <patternFill patternType="solid">
        <fgColor rgb="00F1F3F5"/>
      </patternFill>
    </fill>
    <fill>
      <patternFill patternType="solid">
        <fgColor rgb="00E8F3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49" fontId="3" fillId="3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165" fontId="3" fillId="3" borderId="0" applyAlignment="1" pivotButton="0" quotePrefix="0" xfId="0">
      <alignment vertical="top" wrapText="1"/>
    </xf>
    <xf numFmtId="166" fontId="3" fillId="3" borderId="0" applyAlignment="1" pivotButton="0" quotePrefix="0" xfId="0">
      <alignment vertical="top" wrapText="1"/>
    </xf>
    <xf numFmtId="1" fontId="3" fillId="3" borderId="0" applyAlignment="1" pivotButton="0" quotePrefix="0" xfId="0">
      <alignment vertical="top" wrapText="1"/>
    </xf>
    <xf numFmtId="167" fontId="3" fillId="3" borderId="0" applyAlignment="1" pivotButton="0" quotePrefix="0" xfId="0">
      <alignment vertical="top" wrapText="1"/>
    </xf>
    <xf numFmtId="168" fontId="3" fillId="5" borderId="0" applyAlignment="1" pivotButton="0" quotePrefix="0" xfId="0">
      <alignment vertical="top" wrapText="1"/>
    </xf>
    <xf numFmtId="168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Preview export</author>
  </authors>
  <commentList>
    <comment ref="C19" authorId="0" shapeId="0">
      <text>
        <t>Numerical schedule for demo rendering only. NOT verified project data.</t>
      </text>
    </comment>
  </commentList>
</comments>
</file>

<file path=xl/comments/comment2.xml><?xml version="1.0" encoding="utf-8"?>
<comments xmlns="http://schemas.openxmlformats.org/spreadsheetml/2006/main">
  <authors>
    <author>Preview export</author>
  </authors>
  <commentList>
    <comment ref="D6" authorId="0" shapeId="0">
      <text>
        <t>103.40 is present in the demo and intentionally preserved, not capped at 100.</t>
      </text>
    </comment>
  </commentList>
</comments>
</file>

<file path=xl/tables/table1.xml><?xml version="1.0" encoding="utf-8"?>
<table xmlns="http://schemas.openxmlformats.org/spreadsheetml/2006/main" id="1" name="T_Read_Me" displayName="T_Read_Me" ref="A3:B20" headerRowCount="1">
  <autoFilter ref="A3:B20"/>
  <tableColumns count="2">
    <tableColumn id="1" name="Topic"/>
    <tableColumn id="2" name="Instructions"/>
  </tableColumns>
  <tableStyleInfo name="TableStyleMedium2" showRowStripes="1"/>
</table>
</file>

<file path=xl/tables/table2.xml><?xml version="1.0" encoding="utf-8"?>
<table xmlns="http://schemas.openxmlformats.org/spreadsheetml/2006/main" id="2" name="T_Project" displayName="T_Project" ref="A3:H17" headerRowCount="1">
  <autoFilter ref="A3:H17"/>
  <tableColumns count="8">
    <tableColumn id="1" name="Field key"/>
    <tableColumn id="2" name="Field label"/>
    <tableColumn id="3" name="Value"/>
    <tableColumn id="4" name="Unit / type"/>
    <tableColumn id="5" name="Requirement"/>
    <tableColumn id="6" name="Entry status"/>
    <tableColumn id="7" name="Source reference"/>
    <tableColumn id="8" name="Instructions / clarification"/>
  </tableColumns>
  <tableStyleInfo name="TableStyleMedium2" showRowStripes="1"/>
</table>
</file>

<file path=xl/tables/table3.xml><?xml version="1.0" encoding="utf-8"?>
<table xmlns="http://schemas.openxmlformats.org/spreadsheetml/2006/main" id="3" name="T_Contract_Dates" displayName="T_Contract_Dates" ref="A3:H23" headerRowCount="1">
  <autoFilter ref="A3:H23"/>
  <tableColumns count="8">
    <tableColumn id="1" name="Field key"/>
    <tableColumn id="2" name="Field label"/>
    <tableColumn id="3" name="Value"/>
    <tableColumn id="4" name="Unit / type"/>
    <tableColumn id="5" name="Requirement"/>
    <tableColumn id="6" name="Entry status"/>
    <tableColumn id="7" name="Source reference"/>
    <tableColumn id="8" name="Instructions / clarification"/>
  </tableColumns>
  <tableStyleInfo name="TableStyleMedium2" showRowStripes="1"/>
</table>
</file>

<file path=xl/tables/table4.xml><?xml version="1.0" encoding="utf-8"?>
<table xmlns="http://schemas.openxmlformats.org/spreadsheetml/2006/main" id="4" name="T_Progress_Finance" displayName="T_Progress_Finance" ref="A3:H19" headerRowCount="1">
  <autoFilter ref="A3:H19"/>
  <tableColumns count="8">
    <tableColumn id="1" name="Field key"/>
    <tableColumn id="2" name="Field label"/>
    <tableColumn id="3" name="Value"/>
    <tableColumn id="4" name="Unit / type"/>
    <tableColumn id="5" name="Requirement"/>
    <tableColumn id="6" name="Entry status"/>
    <tableColumn id="7" name="Source reference"/>
    <tableColumn id="8" name="Instructions / clarification"/>
  </tableColumns>
  <tableStyleInfo name="TableStyleMedium2" showRowStripes="1"/>
</table>
</file>

<file path=xl/tables/table5.xml><?xml version="1.0" encoding="utf-8"?>
<table xmlns="http://schemas.openxmlformats.org/spreadsheetml/2006/main" id="5" name="T_Activities" displayName="T_Activities" ref="A3:I23" headerRowCount="1">
  <autoFilter ref="A3:I23"/>
  <tableColumns count="9">
    <tableColumn id="1" name="Activity ID"/>
    <tableColumn id="2" name="Activity name"/>
    <tableColumn id="3" name="Planned %"/>
    <tableColumn id="4" name="Actual %"/>
    <tableColumn id="5" name="Printed difference %"/>
    <tableColumn id="6" name="Calculated actual-plan"/>
    <tableColumn id="7" name="Entry status"/>
    <tableColumn id="8" name="Source reference"/>
    <tableColumn id="9" name="Notes"/>
  </tableColumns>
  <tableStyleInfo name="TableStyleMedium2" showRowStripes="1"/>
</table>
</file>

<file path=xl/tables/table6.xml><?xml version="1.0" encoding="utf-8"?>
<table xmlns="http://schemas.openxmlformats.org/spreadsheetml/2006/main" id="6" name="T_Monthly_Schedule" displayName="T_Monthly_Schedule" ref="A3:I63" headerRowCount="1">
  <autoFilter ref="A3:I63"/>
  <tableColumns count="9">
    <tableColumn id="1" name="Month"/>
    <tableColumn id="2" name="Monthly planned %"/>
    <tableColumn id="3" name="Monthly actual %"/>
    <tableColumn id="4" name="Cumulative planned %"/>
    <tableColumn id="5" name="Cumulative actual %"/>
    <tableColumn id="6" name="Monthly actual-plan"/>
    <tableColumn id="7" name="Entry status"/>
    <tableColumn id="8" name="Source reference"/>
    <tableColumn id="9" name="Notes"/>
  </tableColumns>
  <tableStyleInfo name="TableStyleMedium2" showRowStripes="1"/>
</table>
</file>

<file path=xl/tables/table7.xml><?xml version="1.0" encoding="utf-8"?>
<table xmlns="http://schemas.openxmlformats.org/spreadsheetml/2006/main" id="7" name="T_Resources" displayName="T_Resources" ref="A3:I5" headerRowCount="1">
  <autoFilter ref="A3:I5"/>
  <tableColumns count="9">
    <tableColumn id="1" name="Resource"/>
    <tableColumn id="2" name="Planned"/>
    <tableColumn id="3" name="Actual"/>
    <tableColumn id="4" name="Calculated actual-plan"/>
    <tableColumn id="5" name="Printed variance"/>
    <tableColumn id="6" name="Unit"/>
    <tableColumn id="7" name="Entry status"/>
    <tableColumn id="8" name="Source reference"/>
    <tableColumn id="9" name="Notes"/>
  </tableColumns>
  <tableStyleInfo name="TableStyleMedium2" showRowStripes="1"/>
</table>
</file>

<file path=xl/tables/table8.xml><?xml version="1.0" encoding="utf-8"?>
<table xmlns="http://schemas.openxmlformats.org/spreadsheetml/2006/main" id="8" name="T_Scope_Layers" displayName="T_Scope_Layers" ref="A3:I18" headerRowCount="1">
  <autoFilter ref="A3:I18"/>
  <tableColumns count="9">
    <tableColumn id="1" name="Type"/>
    <tableColumn id="2" name="Stable ID / layer code"/>
    <tableColumn id="3" name="Description"/>
    <tableColumn id="4" name="Quantity"/>
    <tableColumn id="5" name="Unit"/>
    <tableColumn id="6" name="Thickness mm"/>
    <tableColumn id="7" name="Qualifier / notes"/>
    <tableColumn id="8" name="Entry status"/>
    <tableColumn id="9" name="Source reference"/>
  </tableColumns>
  <tableStyleInfo name="TableStyleMedium2" showRowStripes="1"/>
</table>
</file>

<file path=xl/tables/table9.xml><?xml version="1.0" encoding="utf-8"?>
<table xmlns="http://schemas.openxmlformats.org/spreadsheetml/2006/main" id="9" name="T_Status_Updates" displayName="T_Status_Updates" ref="A3:F23" headerRowCount="1">
  <autoFilter ref="A3:F23"/>
  <tableColumns count="6">
    <tableColumn id="1" name="Update ID"/>
    <tableColumn id="2" name="Description / source wording"/>
    <tableColumn id="3" name="Explicit trade status"/>
    <tableColumn id="4" name="Entry status"/>
    <tableColumn id="5" name="Source reference"/>
    <tableColumn id="6" name="Clarification / internal note"/>
  </tableColumns>
  <tableStyleInfo name="TableStyleMedium2" showRowStripes="1"/>
</table>
</file>

<file path=xl/tables/table10.xml><?xml version="1.0" encoding="utf-8"?>
<table xmlns="http://schemas.openxmlformats.org/spreadsheetml/2006/main" id="10" name="T_Contacts" displayName="T_Contacts" ref="A3:I8" headerRowCount="1">
  <autoFilter ref="A3:I8"/>
  <tableColumns count="9">
    <tableColumn id="1" name="Party role"/>
    <tableColumn id="2" name="Organisation"/>
    <tableColumn id="3" name="Department"/>
    <tableColumn id="4" name="Representative"/>
    <tableColumn id="5" name="Position / title"/>
    <tableColumn id="6" name="Telephone"/>
    <tableColumn id="7" name="Email"/>
    <tableColumn id="8" name="Entry status"/>
    <tableColumn id="9" name="Source reference"/>
  </tableColumns>
  <tableStyleInfo name="TableStyleMedium2" showRowStripes="1"/>
</table>
</file>

<file path=xl/tables/table11.xml><?xml version="1.0" encoding="utf-8"?>
<table xmlns="http://schemas.openxmlformats.org/spreadsheetml/2006/main" id="11" name="T_Assets" displayName="T_Assets" ref="A3:I13" headerRowCount="1">
  <autoFilter ref="A3:I13"/>
  <tableColumns count="9">
    <tableColumn id="1" name="Asset ID"/>
    <tableColumn id="2" name="Purpose"/>
    <tableColumn id="3" name="Requirement"/>
    <tableColumn id="4" name="Local filename"/>
    <tableColumn id="5" name="Caption"/>
    <tableColumn id="6" name="Secondary description"/>
    <tableColumn id="7" name="Capture date"/>
    <tableColumn id="8" name="Entry status"/>
    <tableColumn id="9" name="Upload guidance"/>
  </tableColumns>
  <tableStyleInfo name="TableStyleMedium2" showRowStripes="1"/>
</table>
</file>

<file path=xl/tables/table12.xml><?xml version="1.0" encoding="utf-8"?>
<table xmlns="http://schemas.openxmlformats.org/spreadsheetml/2006/main" id="12" name="T_Checks" displayName="T_Checks" ref="A3:C12" headerRowCount="1">
  <autoFilter ref="A3:C12"/>
  <tableColumns count="3">
    <tableColumn id="1" name="Check"/>
    <tableColumn id="2" name="Result"/>
    <tableColumn id="3" name="Reviewer guid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5" customWidth="1" min="2" max="2"/>
  </cols>
  <sheetData>
    <row r="1" ht="30" customHeight="1">
      <c r="A1" s="1" t="inlineStr">
        <is>
          <t>VIA monthly project reporting | BLANK INPUT TEMPLATE</t>
        </is>
      </c>
    </row>
    <row r="2" ht="48" customHeight="1">
      <c r="A2" s="2" t="inlineStr">
        <is>
          <t>Do not publish without source review. This workbook contains no client passwords.</t>
        </is>
      </c>
    </row>
    <row r="3" ht="32" customHeight="1">
      <c r="A3" s="3" t="inlineStr">
        <is>
          <t>Topic</t>
        </is>
      </c>
      <c r="B3" s="3" t="inlineStr">
        <is>
          <t>Instructions</t>
        </is>
      </c>
    </row>
    <row r="4" ht="46" customHeight="1">
      <c r="A4" s="4" t="inlineStr">
        <is>
          <t>Template version</t>
        </is>
      </c>
      <c r="B4" s="4" t="inlineStr">
        <is>
          <t>VIA-REPORT-EXCEL-1.0; one workbook = one project + one reporting month.</t>
        </is>
      </c>
    </row>
    <row r="5" ht="46" customHeight="1">
      <c r="A5" s="4" t="inlineStr">
        <is>
          <t>Workbook purpose</t>
        </is>
      </c>
      <c r="B5" s="4" t="inlineStr">
        <is>
          <t>Filled from the Mughsayl web demo. ALL entered values are DUMMY DATA, not approved project figures.</t>
        </is>
      </c>
    </row>
    <row r="6" ht="46" customHeight="1">
      <c r="A6" s="4" t="inlineStr">
        <is>
          <t>Current app compatibility</t>
        </is>
      </c>
      <c r="B6" s="4" t="inlineStr">
        <is>
          <t>Direct .xlsx import still needs implementation. Do not upload this workbook to the existing CSV-only importer. This workbook defines the proposed Excel import contract.</t>
        </is>
      </c>
    </row>
    <row r="7" ht="46" customHeight="1">
      <c r="A7" s="4" t="inlineStr">
        <is>
          <t>Start here</t>
        </is>
      </c>
      <c r="B7" s="4" t="inlineStr">
        <is>
          <t>Complete Project, Contract_Dates and Progress_Finance. Then complete relevant repeating tables.</t>
        </is>
      </c>
    </row>
    <row r="8" ht="46" customHeight="1">
      <c r="A8" s="4" t="inlineStr">
        <is>
          <t>Numbers</t>
        </is>
      </c>
      <c r="B8" s="4" t="inlineStr">
        <is>
          <t>Enter 95 for 95 percent; percent cells display 95.00%. Enter amounts as numbers, no currency text. Use zero only when explicitly reported.</t>
        </is>
      </c>
    </row>
    <row r="9" ht="46" customHeight="1">
      <c r="A9" s="4" t="inlineStr">
        <is>
          <t>Missing vs not applicable</t>
        </is>
      </c>
      <c r="B9" s="4" t="inlineStr">
        <is>
          <t>Leave missing values blank and select Not reported. Use Not applicable only when the source/team confirms it. Never put NA into a numeric cell.</t>
        </is>
      </c>
    </row>
    <row r="10" ht="46" customHeight="1">
      <c r="A10" s="4" t="inlineStr">
        <is>
          <t>Dates / identifiers</t>
        </is>
      </c>
      <c r="B10" s="4" t="inlineStr">
        <is>
          <t>Use real Excel dates. Report month uses its first day only as a month identifier. Store references and telephone numbers as text to preserve leading zeroes.</t>
        </is>
      </c>
    </row>
    <row r="11" ht="46" customHeight="1">
      <c r="A11" s="4" t="inlineStr">
        <is>
          <t>Manual assets</t>
        </is>
      </c>
      <c r="B11" s="4" t="inlineStr">
        <is>
          <t>Upload logo, project layout and four photographs in the app; record captions and asset IDs on Assets. Additional logos, status drawing and source S-curve image have separate slots. No images need to be embedded in Excel.</t>
        </is>
      </c>
    </row>
    <row r="12" ht="46" customHeight="1">
      <c r="A12" s="4" t="inlineStr">
        <is>
          <t>Schedule</t>
        </is>
      </c>
      <c r="B12" s="4" t="inlineStr">
        <is>
          <t>Copy readable monthly numbers from original Excel/source table. Leave future actuals blank. If unreadable, choose Source image and upload the original S-curve. Never estimate plotted values.</t>
        </is>
      </c>
    </row>
    <row r="13" ht="46" customHeight="1">
      <c r="A13" s="4" t="inlineStr">
        <is>
          <t>Financial semantics</t>
        </is>
      </c>
      <c r="B13" s="4" t="inlineStr">
        <is>
          <t>Financial progress, certified amount, paid amount and anticipated payment are distinct. Never substitute one for another.</t>
        </is>
      </c>
    </row>
    <row r="14" ht="46" customHeight="1">
      <c r="A14" s="4" t="inlineStr">
        <is>
          <t>Scope and layers</t>
        </is>
      </c>
      <c r="B14" s="4" t="inlineStr">
        <is>
          <t>Optional if not reported / not applicable. Never invent five quantities or pavement layers to fill a dashboard.</t>
        </is>
      </c>
    </row>
    <row r="15" ht="46" customHeight="1">
      <c r="A15" s="4" t="inlineStr">
        <is>
          <t>Editing tables</t>
        </is>
      </c>
      <c r="B15" s="4" t="inlineStr">
        <is>
          <t>Keep sheet names, field keys and table headers. Fill existing rows; add rows inside the Excel table if needed. Ignore unused empty rows on import.</t>
        </is>
      </c>
    </row>
    <row r="16" ht="46" customHeight="1">
      <c r="A16" s="4" t="inlineStr">
        <is>
          <t>Checks</t>
        </is>
      </c>
      <c r="B16" s="4" t="inlineStr">
        <is>
          <t>Formula cells are green. Excel recalculates them on opening; they are review aids only. The application must independently validate values on import.</t>
        </is>
      </c>
    </row>
    <row r="17" ht="46" customHeight="1">
      <c r="A17" s="4" t="inlineStr">
        <is>
          <t>Review</t>
        </is>
      </c>
      <c r="B17" s="4" t="inlineStr">
        <is>
          <t>Needs review is NOT verified. Check against the source, mark verified fields, then preview and approve in the app. Workbook approval names do not replace secure app approval.</t>
        </is>
      </c>
    </row>
    <row r="18" ht="46" customHeight="1">
      <c r="A18" s="4" t="inlineStr">
        <is>
          <t>Example limitations</t>
        </is>
      </c>
      <c r="B18" s="4" t="inlineStr">
        <is>
          <t>Example figures are manually transcribed from the supplied image-based PDF and require checking. Tiny S-curve values, unclear contacts and absent data are intentionally left blank.</t>
        </is>
      </c>
    </row>
    <row r="19" ht="46" customHeight="1">
      <c r="A19" s="4" t="inlineStr">
        <is>
          <t>Sample issue to resolve</t>
        </is>
      </c>
      <c r="B19" s="4" t="inlineStr">
        <is>
          <t>Financial difference is printed 4.39%; actual minus planned is -4.39 percentage points. Preserve both and confirm the source convention.</t>
        </is>
      </c>
    </row>
    <row r="20" ht="46" customHeight="1">
      <c r="A20" s="4" t="inlineStr">
        <is>
          <t>Source coverage</t>
        </is>
      </c>
      <c r="B20" s="4" t="inlineStr">
        <is>
          <t>Includes contract/VOs, dates, bridge and arches progress, financial figures, activity table, monthly schedule, resources, scope, narrative updates, contacts, photographs, logos and the separate activity-status drawing.</t>
        </is>
      </c>
    </row>
    <row r="21">
      <c r="A21" t="inlineStr">
        <is>
          <t>Demo footer code</t>
        </is>
      </c>
      <c r="B21" t="inlineStr">
        <is>
          <t>DUMMY DATA — NOT FOR REPORTING (current template has no dedicated footer-code field).</t>
        </is>
      </c>
    </row>
    <row r="22">
      <c r="A22" t="inlineStr">
        <is>
          <t>Unused entries</t>
        </is>
      </c>
      <c r="B22" t="inlineStr">
        <is>
          <t>Fields not supplied by the demo remain blank, including original contract breakdown and financial planned %.</t>
        </is>
      </c>
    </row>
    <row r="23">
      <c r="A23" t="inlineStr">
        <is>
          <t>Project URL</t>
        </is>
      </c>
      <c r="B23" t="inlineStr">
        <is>
          <t>The demo is /demos/mughsayl.html; no live project slug is assigned to this workbook.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43" customWidth="1" min="2" max="2"/>
    <col width="40" customWidth="1" min="3" max="3"/>
    <col width="24" customWidth="1" min="4" max="4"/>
    <col width="24" customWidth="1" min="5" max="5"/>
    <col width="24" customWidth="1" min="6" max="6"/>
    <col width="35" customWidth="1" min="7" max="7"/>
    <col width="64" customWidth="1" min="8" max="8"/>
  </cols>
  <sheetData>
    <row r="1" ht="30" customHeight="1">
      <c r="A1" s="1" t="inlineStr">
        <is>
          <t>Project</t>
        </is>
      </c>
    </row>
    <row r="2" ht="48" customHeight="1">
      <c r="A2" s="2" t="inlineStr">
        <is>
          <t>Blue cells: enter data. Keep field keys, headers and sheet names unchanged. Missing numeric data = blank + a status, never invented zero.</t>
        </is>
      </c>
    </row>
    <row r="3" ht="32" customHeight="1">
      <c r="A3" s="3" t="inlineStr">
        <is>
          <t>Field key</t>
        </is>
      </c>
      <c r="B3" s="3" t="inlineStr">
        <is>
          <t>Field label</t>
        </is>
      </c>
      <c r="C3" s="3" t="inlineStr">
        <is>
          <t>Value</t>
        </is>
      </c>
      <c r="D3" s="3" t="inlineStr">
        <is>
          <t>Unit / type</t>
        </is>
      </c>
      <c r="E3" s="3" t="inlineStr">
        <is>
          <t>Requirement</t>
        </is>
      </c>
      <c r="F3" s="3" t="inlineStr">
        <is>
          <t>Entry status</t>
        </is>
      </c>
      <c r="G3" s="3" t="inlineStr">
        <is>
          <t>Source reference</t>
        </is>
      </c>
      <c r="H3" s="3" t="inlineStr">
        <is>
          <t>Instructions / clarification</t>
        </is>
      </c>
    </row>
    <row r="4" ht="46" customHeight="1">
      <c r="A4" s="5" t="inlineStr">
        <is>
          <t>project_name</t>
        </is>
      </c>
      <c r="B4" s="4" t="inlineStr">
        <is>
          <t>Full project name</t>
        </is>
      </c>
      <c r="C4" s="6" t="inlineStr">
        <is>
          <t>Construction Works of Mughsayl Road and Bridge</t>
        </is>
      </c>
      <c r="D4" s="4" t="inlineStr">
        <is>
          <t>text</t>
        </is>
      </c>
      <c r="E4" s="4" t="inlineStr">
        <is>
          <t>Required</t>
        </is>
      </c>
      <c r="F4" s="4" t="inlineStr">
        <is>
          <t>Needs review</t>
        </is>
      </c>
      <c r="G4" s="4" t="inlineStr">
        <is>
          <t>Mughsayl HTML demo — DUMMY DATA, not an approved report</t>
        </is>
      </c>
      <c r="H4" s="4" t="inlineStr">
        <is>
          <t>Copy the approved project title.</t>
        </is>
      </c>
    </row>
    <row r="5" ht="46" customHeight="1">
      <c r="A5" s="5" t="inlineStr">
        <is>
          <t>project_reference</t>
        </is>
      </c>
      <c r="B5" s="4" t="inlineStr">
        <is>
          <t>Project / contract reference</t>
        </is>
      </c>
      <c r="C5" s="6" t="inlineStr">
        <is>
          <t>DEMO ONLY / 2026 / 01</t>
        </is>
      </c>
      <c r="D5" s="4" t="inlineStr">
        <is>
          <t>text</t>
        </is>
      </c>
      <c r="E5" s="4" t="inlineStr">
        <is>
          <t>If reported</t>
        </is>
      </c>
      <c r="F5" s="4" t="inlineStr">
        <is>
          <t>Needs review</t>
        </is>
      </c>
      <c r="G5" s="4" t="inlineStr">
        <is>
          <t>Mughsayl HTML demo — DUMMY DATA, not an approved report</t>
        </is>
      </c>
      <c r="H5" s="4" t="inlineStr">
        <is>
          <t>Do not invent an identifier.</t>
        </is>
      </c>
    </row>
    <row r="6" ht="46" customHeight="1">
      <c r="A6" s="5" t="inlineStr">
        <is>
          <t>project_slug</t>
        </is>
      </c>
      <c r="B6" s="4" t="inlineStr">
        <is>
          <t>Existing project URL slug</t>
        </is>
      </c>
      <c r="C6" s="6" t="n"/>
      <c r="D6" s="4" t="inlineStr">
        <is>
          <t>text</t>
        </is>
      </c>
      <c r="E6" s="4" t="inlineStr">
        <is>
          <t>Required</t>
        </is>
      </c>
      <c r="F6" s="4" t="inlineStr">
        <is>
          <t>Not reported</t>
        </is>
      </c>
      <c r="G6" s="4" t="inlineStr"/>
      <c r="H6" s="4" t="inlineStr">
        <is>
          <t>For later months use the SAME project slug. Set once in the app.</t>
        </is>
      </c>
    </row>
    <row r="7" ht="46" customHeight="1">
      <c r="A7" s="5" t="inlineStr">
        <is>
          <t>project_type</t>
        </is>
      </c>
      <c r="B7" s="4" t="inlineStr">
        <is>
          <t>Project type</t>
        </is>
      </c>
      <c r="C7" s="6" t="inlineStr">
        <is>
          <t>Illustrative data — not an approved report</t>
        </is>
      </c>
      <c r="D7" s="4" t="inlineStr">
        <is>
          <t>text</t>
        </is>
      </c>
      <c r="E7" s="4" t="inlineStr">
        <is>
          <t>Required</t>
        </is>
      </c>
      <c r="F7" s="4" t="inlineStr">
        <is>
          <t>Needs review</t>
        </is>
      </c>
      <c r="G7" s="4" t="inlineStr">
        <is>
          <t>Mughsayl HTML demo — DUMMY DATA, not an approved report</t>
        </is>
      </c>
      <c r="H7" s="4" t="inlineStr">
        <is>
          <t>Internal classification; confirm with project team.</t>
        </is>
      </c>
    </row>
    <row r="8" ht="46" customHeight="1">
      <c r="A8" s="5" t="inlineStr">
        <is>
          <t>region</t>
        </is>
      </c>
      <c r="B8" s="4" t="inlineStr">
        <is>
          <t>Region / governorate</t>
        </is>
      </c>
      <c r="C8" s="6" t="inlineStr">
        <is>
          <t>Governorate of Dhofar, Sultanate of Oman</t>
        </is>
      </c>
      <c r="D8" s="4" t="inlineStr">
        <is>
          <t>text</t>
        </is>
      </c>
      <c r="E8" s="4" t="inlineStr">
        <is>
          <t>Required</t>
        </is>
      </c>
      <c r="F8" s="4" t="inlineStr">
        <is>
          <t>Needs review</t>
        </is>
      </c>
      <c r="G8" s="4" t="inlineStr">
        <is>
          <t>Mughsayl HTML demo — DUMMY DATA, not an approved report</t>
        </is>
      </c>
      <c r="H8" s="4" t="inlineStr">
        <is>
          <t>As printed.</t>
        </is>
      </c>
    </row>
    <row r="9" ht="46" customHeight="1">
      <c r="A9" s="5" t="inlineStr">
        <is>
          <t>report_month</t>
        </is>
      </c>
      <c r="B9" s="4" t="inlineStr">
        <is>
          <t>Reporting month</t>
        </is>
      </c>
      <c r="C9" s="7" t="n">
        <v>46204</v>
      </c>
      <c r="D9" s="4" t="inlineStr">
        <is>
          <t>month</t>
        </is>
      </c>
      <c r="E9" s="4" t="inlineStr">
        <is>
          <t>Required</t>
        </is>
      </c>
      <c r="F9" s="4" t="inlineStr">
        <is>
          <t>Needs review</t>
        </is>
      </c>
      <c r="G9" s="4" t="inlineStr">
        <is>
          <t>Mughsayl HTML demo — DUMMY DATA, not an approved report</t>
        </is>
      </c>
      <c r="H9" s="4" t="inlineStr">
        <is>
          <t>Enter first day of the report month; displayed as month and year.</t>
        </is>
      </c>
    </row>
    <row r="10" ht="46" customHeight="1">
      <c r="A10" s="5" t="inlineStr">
        <is>
          <t>report_number</t>
        </is>
      </c>
      <c r="B10" s="4" t="inlineStr">
        <is>
          <t>Report number</t>
        </is>
      </c>
      <c r="C10" s="6" t="inlineStr">
        <is>
          <t>17</t>
        </is>
      </c>
      <c r="D10" s="4" t="inlineStr">
        <is>
          <t>text</t>
        </is>
      </c>
      <c r="E10" s="4" t="inlineStr">
        <is>
          <t>If reported</t>
        </is>
      </c>
      <c r="F10" s="4" t="inlineStr">
        <is>
          <t>Needs review</t>
        </is>
      </c>
      <c r="G10" s="4" t="inlineStr">
        <is>
          <t>Mughsayl HTML demo — DUMMY DATA, not an approved report</t>
        </is>
      </c>
      <c r="H10" s="4" t="inlineStr">
        <is>
          <t>Printed page number is NOT the report number.</t>
        </is>
      </c>
    </row>
    <row r="11" ht="46" customHeight="1">
      <c r="A11" s="5" t="inlineStr">
        <is>
          <t>data_as_of</t>
        </is>
      </c>
      <c r="B11" s="4" t="inlineStr">
        <is>
          <t>Exact data-as-of date</t>
        </is>
      </c>
      <c r="C11" s="8" t="n">
        <v>46234</v>
      </c>
      <c r="D11" s="4" t="inlineStr">
        <is>
          <t>date</t>
        </is>
      </c>
      <c r="E11" s="4" t="inlineStr">
        <is>
          <t>Required</t>
        </is>
      </c>
      <c r="F11" s="4" t="inlineStr">
        <is>
          <t>Needs review</t>
        </is>
      </c>
      <c r="G11" s="4" t="inlineStr">
        <is>
          <t>Mughsayl HTML demo — DUMMY DATA, not an approved report</t>
        </is>
      </c>
      <c r="H11" s="4" t="inlineStr">
        <is>
          <t>Confirm exact date; July 2026 alone does not establish 31 July.</t>
        </is>
      </c>
    </row>
    <row r="12" ht="46" customHeight="1">
      <c r="A12" s="5" t="inlineStr">
        <is>
          <t>revision</t>
        </is>
      </c>
      <c r="B12" s="4" t="inlineStr">
        <is>
          <t>Report revision</t>
        </is>
      </c>
      <c r="C12" s="6" t="inlineStr">
        <is>
          <t>Rev-01</t>
        </is>
      </c>
      <c r="D12" s="4" t="inlineStr">
        <is>
          <t>text</t>
        </is>
      </c>
      <c r="E12" s="4" t="inlineStr">
        <is>
          <t>If reported</t>
        </is>
      </c>
      <c r="F12" s="4" t="inlineStr">
        <is>
          <t>Needs review</t>
        </is>
      </c>
      <c r="G12" s="4" t="inlineStr">
        <is>
          <t>Mughsayl HTML demo — DUMMY DATA, not an approved report</t>
        </is>
      </c>
      <c r="H12" s="4" t="inlineStr">
        <is>
          <t>Do not assume Rev-01.</t>
        </is>
      </c>
    </row>
    <row r="13" ht="46" customHeight="1">
      <c r="A13" s="5" t="inlineStr">
        <is>
          <t>source_filename</t>
        </is>
      </c>
      <c r="B13" s="4" t="inlineStr">
        <is>
          <t>Original report filename</t>
        </is>
      </c>
      <c r="C13" s="6" t="inlineStr">
        <is>
          <t>http://localhost:8080/demos/mughsayl.html</t>
        </is>
      </c>
      <c r="D13" s="4" t="inlineStr">
        <is>
          <t>text</t>
        </is>
      </c>
      <c r="E13" s="4" t="inlineStr">
        <is>
          <t>Required</t>
        </is>
      </c>
      <c r="F13" s="4" t="inlineStr">
        <is>
          <t>Needs review</t>
        </is>
      </c>
      <c r="G13" s="4" t="inlineStr">
        <is>
          <t>Mughsayl HTML demo — DUMMY DATA, not an approved report</t>
        </is>
      </c>
      <c r="H13" s="4" t="inlineStr">
        <is>
          <t>Source PDF retained for review.</t>
        </is>
      </c>
    </row>
    <row r="14" ht="46" customHeight="1">
      <c r="A14" s="5" t="inlineStr">
        <is>
          <t>brief</t>
        </is>
      </c>
      <c r="B14" s="4" t="inlineStr">
        <is>
          <t>Project brief</t>
        </is>
      </c>
      <c r="C14" s="6" t="inlineStr">
        <is>
          <t>Bridge and approach road works</t>
        </is>
      </c>
      <c r="D14" s="4" t="inlineStr">
        <is>
          <t>text</t>
        </is>
      </c>
      <c r="E14" s="4" t="inlineStr">
        <is>
          <t>Required</t>
        </is>
      </c>
      <c r="F14" s="4" t="inlineStr">
        <is>
          <t>Needs review</t>
        </is>
      </c>
      <c r="G14" s="4" t="inlineStr">
        <is>
          <t>Mughsayl HTML demo — DUMMY DATA, not an approved report</t>
        </is>
      </c>
      <c r="H14" s="4" t="inlineStr">
        <is>
          <t>Keep full scope and significant qualifications.</t>
        </is>
      </c>
    </row>
    <row r="15" ht="46" customHeight="1">
      <c r="A15" s="5" t="inlineStr">
        <is>
          <t>prepared_by</t>
        </is>
      </c>
      <c r="B15" s="4" t="inlineStr">
        <is>
          <t>Prepared by</t>
        </is>
      </c>
      <c r="C15" s="6" t="n"/>
      <c r="D15" s="4" t="inlineStr">
        <is>
          <t>text</t>
        </is>
      </c>
      <c r="E15" s="4" t="inlineStr">
        <is>
          <t>Internal</t>
        </is>
      </c>
      <c r="F15" s="4" t="inlineStr">
        <is>
          <t>Not reported</t>
        </is>
      </c>
      <c r="G15" s="4" t="inlineStr"/>
      <c r="H15" s="4" t="inlineStr">
        <is>
          <t>Name of person entering this workbook.</t>
        </is>
      </c>
    </row>
    <row r="16" ht="46" customHeight="1">
      <c r="A16" s="5" t="inlineStr">
        <is>
          <t>checked_by</t>
        </is>
      </c>
      <c r="B16" s="4" t="inlineStr">
        <is>
          <t>Checked by</t>
        </is>
      </c>
      <c r="C16" s="6" t="n"/>
      <c r="D16" s="4" t="inlineStr">
        <is>
          <t>text</t>
        </is>
      </c>
      <c r="E16" s="4" t="inlineStr">
        <is>
          <t>Internal</t>
        </is>
      </c>
      <c r="F16" s="4" t="inlineStr">
        <is>
          <t>Not reported</t>
        </is>
      </c>
      <c r="G16" s="4" t="inlineStr"/>
      <c r="H16" s="4" t="inlineStr">
        <is>
          <t>Reviewer name. A workbook name is not an authenticated app approval.</t>
        </is>
      </c>
    </row>
    <row r="17" ht="46" customHeight="1">
      <c r="A17" s="5" t="inlineStr">
        <is>
          <t>checked_date</t>
        </is>
      </c>
      <c r="B17" s="4" t="inlineStr">
        <is>
          <t>Checked date</t>
        </is>
      </c>
      <c r="C17" s="8" t="n"/>
      <c r="D17" s="4" t="inlineStr">
        <is>
          <t>date</t>
        </is>
      </c>
      <c r="E17" s="4" t="inlineStr">
        <is>
          <t>Internal</t>
        </is>
      </c>
      <c r="F17" s="4" t="inlineStr">
        <is>
          <t>Not reported</t>
        </is>
      </c>
      <c r="G17" s="4" t="inlineStr"/>
      <c r="H17" s="4" t="inlineStr">
        <is>
          <t>Actual date reviewed.</t>
        </is>
      </c>
    </row>
  </sheetData>
  <mergeCells count="2">
    <mergeCell ref="A2:H2"/>
    <mergeCell ref="A1:H1"/>
  </mergeCells>
  <dataValidations count="1">
    <dataValidation sqref="F4:F17" showDropDown="0" showInputMessage="0" showErrorMessage="1" allowBlank="1" errorTitle="Choose a listed value" error="Use the dropdown choices." type="list">
      <formula1>"Not reported,Not applicable,Entered,Needs review,Verified"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43" customWidth="1" min="2" max="2"/>
    <col width="40" customWidth="1" min="3" max="3"/>
    <col width="24" customWidth="1" min="4" max="4"/>
    <col width="24" customWidth="1" min="5" max="5"/>
    <col width="24" customWidth="1" min="6" max="6"/>
    <col width="35" customWidth="1" min="7" max="7"/>
    <col width="64" customWidth="1" min="8" max="8"/>
  </cols>
  <sheetData>
    <row r="1" ht="30" customHeight="1">
      <c r="A1" s="1" t="inlineStr">
        <is>
          <t>Contract Dates</t>
        </is>
      </c>
    </row>
    <row r="2" ht="48" customHeight="1">
      <c r="A2" s="2" t="inlineStr">
        <is>
          <t>Blue cells: enter data. Keep field keys, headers and sheet names unchanged. Missing numeric data = blank + a status, never invented zero.</t>
        </is>
      </c>
    </row>
    <row r="3" ht="32" customHeight="1">
      <c r="A3" s="3" t="inlineStr">
        <is>
          <t>Field key</t>
        </is>
      </c>
      <c r="B3" s="3" t="inlineStr">
        <is>
          <t>Field label</t>
        </is>
      </c>
      <c r="C3" s="3" t="inlineStr">
        <is>
          <t>Value</t>
        </is>
      </c>
      <c r="D3" s="3" t="inlineStr">
        <is>
          <t>Unit / type</t>
        </is>
      </c>
      <c r="E3" s="3" t="inlineStr">
        <is>
          <t>Requirement</t>
        </is>
      </c>
      <c r="F3" s="3" t="inlineStr">
        <is>
          <t>Entry status</t>
        </is>
      </c>
      <c r="G3" s="3" t="inlineStr">
        <is>
          <t>Source reference</t>
        </is>
      </c>
      <c r="H3" s="3" t="inlineStr">
        <is>
          <t>Instructions / clarification</t>
        </is>
      </c>
    </row>
    <row r="4" ht="46" customHeight="1">
      <c r="A4" s="5" t="inlineStr">
        <is>
          <t>currency</t>
        </is>
      </c>
      <c r="B4" s="4" t="inlineStr">
        <is>
          <t>Currency</t>
        </is>
      </c>
      <c r="C4" s="6" t="inlineStr">
        <is>
          <t>R.O.</t>
        </is>
      </c>
      <c r="D4" s="4" t="inlineStr">
        <is>
          <t>text</t>
        </is>
      </c>
      <c r="E4" s="4" t="inlineStr">
        <is>
          <t>Required</t>
        </is>
      </c>
      <c r="F4" s="4" t="inlineStr">
        <is>
          <t>Needs review</t>
        </is>
      </c>
      <c r="G4" s="4" t="inlineStr">
        <is>
          <t>Mughsayl HTML demo — DUMMY DATA, not an approved report</t>
        </is>
      </c>
      <c r="H4" s="4" t="inlineStr">
        <is>
          <t>Applies to monetary figures.</t>
        </is>
      </c>
    </row>
    <row r="5" ht="46" customHeight="1">
      <c r="A5" s="5" t="inlineStr">
        <is>
          <t>original_ex_contingency</t>
        </is>
      </c>
      <c r="B5" s="4" t="inlineStr">
        <is>
          <t>Original contract excluding contingency</t>
        </is>
      </c>
      <c r="C5" s="9" t="n"/>
      <c r="D5" s="4" t="inlineStr">
        <is>
          <t>amount</t>
        </is>
      </c>
      <c r="E5" s="4" t="inlineStr">
        <is>
          <t>Required</t>
        </is>
      </c>
      <c r="F5" s="4" t="inlineStr">
        <is>
          <t>Not reported</t>
        </is>
      </c>
      <c r="G5" s="4" t="inlineStr"/>
      <c r="H5" s="4" t="inlineStr">
        <is>
          <t>Preserve three decimal places.</t>
        </is>
      </c>
    </row>
    <row r="6" ht="46" customHeight="1">
      <c r="A6" s="5" t="inlineStr">
        <is>
          <t>contingency</t>
        </is>
      </c>
      <c r="B6" s="4" t="inlineStr">
        <is>
          <t>Contingency</t>
        </is>
      </c>
      <c r="C6" s="9" t="n"/>
      <c r="D6" s="4" t="inlineStr">
        <is>
          <t>amount</t>
        </is>
      </c>
      <c r="E6" s="4" t="inlineStr">
        <is>
          <t>If reported</t>
        </is>
      </c>
      <c r="F6" s="4" t="inlineStr">
        <is>
          <t>Not reported</t>
        </is>
      </c>
      <c r="G6" s="4" t="inlineStr"/>
      <c r="H6" s="4" t="inlineStr">
        <is>
          <t>Sample prints Nil; numeric zero is its interpretation, subject to review.</t>
        </is>
      </c>
    </row>
    <row r="7" ht="46" customHeight="1">
      <c r="A7" s="5" t="inlineStr">
        <is>
          <t>original_inc_contingency</t>
        </is>
      </c>
      <c r="B7" s="4" t="inlineStr">
        <is>
          <t>Original contract including contingency</t>
        </is>
      </c>
      <c r="C7" s="9" t="n"/>
      <c r="D7" s="4" t="inlineStr">
        <is>
          <t>amount</t>
        </is>
      </c>
      <c r="E7" s="4" t="inlineStr">
        <is>
          <t>Required</t>
        </is>
      </c>
      <c r="F7" s="4" t="inlineStr">
        <is>
          <t>Not reported</t>
        </is>
      </c>
      <c r="G7" s="4" t="inlineStr"/>
      <c r="H7" s="4" t="inlineStr">
        <is>
          <t>Do not sum variation totals together.</t>
        </is>
      </c>
    </row>
    <row r="8" ht="46" customHeight="1">
      <c r="A8" s="5" t="inlineStr">
        <is>
          <t>contract_with_vo_1</t>
        </is>
      </c>
      <c r="B8" s="4" t="inlineStr">
        <is>
          <t>Contract with VO.1 and contingency</t>
        </is>
      </c>
      <c r="C8" s="9" t="n"/>
      <c r="D8" s="4" t="inlineStr">
        <is>
          <t>amount</t>
        </is>
      </c>
      <c r="E8" s="4" t="inlineStr">
        <is>
          <t>If applicable</t>
        </is>
      </c>
      <c r="F8" s="4" t="inlineStr">
        <is>
          <t>Not reported</t>
        </is>
      </c>
      <c r="G8" s="4" t="inlineStr"/>
      <c r="H8" s="4" t="inlineStr">
        <is>
          <t>Sample prints NA: keep value blank and select Not applicable.</t>
        </is>
      </c>
    </row>
    <row r="9" ht="46" customHeight="1">
      <c r="A9" s="5" t="inlineStr">
        <is>
          <t>contract_with_vo_2</t>
        </is>
      </c>
      <c r="B9" s="4" t="inlineStr">
        <is>
          <t>Contract with VO.2 and contingency</t>
        </is>
      </c>
      <c r="C9" s="9" t="n"/>
      <c r="D9" s="4" t="inlineStr">
        <is>
          <t>amount</t>
        </is>
      </c>
      <c r="E9" s="4" t="inlineStr">
        <is>
          <t>If applicable</t>
        </is>
      </c>
      <c r="F9" s="4" t="inlineStr">
        <is>
          <t>Not reported</t>
        </is>
      </c>
      <c r="G9" s="4" t="inlineStr"/>
      <c r="H9" s="4" t="inlineStr">
        <is>
          <t>Sample prints NA: keep value blank and select Not applicable.</t>
        </is>
      </c>
    </row>
    <row r="10" ht="46" customHeight="1">
      <c r="A10" s="5" t="inlineStr">
        <is>
          <t>contract_with_vo_3</t>
        </is>
      </c>
      <c r="B10" s="4" t="inlineStr">
        <is>
          <t>Contract with VO.3 and contingency</t>
        </is>
      </c>
      <c r="C10" s="9" t="n"/>
      <c r="D10" s="4" t="inlineStr">
        <is>
          <t>amount</t>
        </is>
      </c>
      <c r="E10" s="4" t="inlineStr">
        <is>
          <t>If applicable</t>
        </is>
      </c>
      <c r="F10" s="4" t="inlineStr">
        <is>
          <t>Not reported</t>
        </is>
      </c>
      <c r="G10" s="4" t="inlineStr"/>
      <c r="H10" s="4" t="inlineStr">
        <is>
          <t>Sample prints NA: keep value blank and select Not applicable.</t>
        </is>
      </c>
    </row>
    <row r="11" ht="46" customHeight="1">
      <c r="A11" s="5" t="inlineStr">
        <is>
          <t>contract_with_vo_4</t>
        </is>
      </c>
      <c r="B11" s="4" t="inlineStr">
        <is>
          <t>Contract with VO.4 and contingency</t>
        </is>
      </c>
      <c r="C11" s="9" t="n"/>
      <c r="D11" s="4" t="inlineStr">
        <is>
          <t>amount</t>
        </is>
      </c>
      <c r="E11" s="4" t="inlineStr">
        <is>
          <t>If applicable</t>
        </is>
      </c>
      <c r="F11" s="4" t="inlineStr">
        <is>
          <t>Not reported</t>
        </is>
      </c>
      <c r="G11" s="4" t="inlineStr"/>
      <c r="H11" s="4" t="inlineStr">
        <is>
          <t>Sample prints NA: keep value blank and select Not applicable.</t>
        </is>
      </c>
    </row>
    <row r="12" ht="46" customHeight="1">
      <c r="A12" s="5" t="inlineStr">
        <is>
          <t>dashboard_contract_value</t>
        </is>
      </c>
      <c r="B12" s="4" t="inlineStr">
        <is>
          <t>Approved contract value used on dashboard</t>
        </is>
      </c>
      <c r="C12" s="9" t="n">
        <v>34844451.558</v>
      </c>
      <c r="D12" s="4" t="inlineStr">
        <is>
          <t>amount</t>
        </is>
      </c>
      <c r="E12" s="4" t="inlineStr">
        <is>
          <t>Required</t>
        </is>
      </c>
      <c r="F12" s="4" t="inlineStr">
        <is>
          <t>Needs review</t>
        </is>
      </c>
      <c r="G12" s="4" t="inlineStr">
        <is>
          <t>Mughsayl HTML demo — DUMMY DATA, not an approved report</t>
        </is>
      </c>
      <c r="H12" s="4" t="inlineStr">
        <is>
          <t>Reviewer selects the applicable current contract basis; do not guess.</t>
        </is>
      </c>
    </row>
    <row r="13" ht="46" customHeight="1">
      <c r="A13" s="5" t="inlineStr">
        <is>
          <t>contract_basis</t>
        </is>
      </c>
      <c r="B13" s="4" t="inlineStr">
        <is>
          <t>Basis of dashboard contract value</t>
        </is>
      </c>
      <c r="C13" s="6" t="inlineStr">
        <is>
          <t>Demo dashboard contract value; original/variation breakdown not supplied</t>
        </is>
      </c>
      <c r="D13" s="4" t="inlineStr">
        <is>
          <t>text</t>
        </is>
      </c>
      <c r="E13" s="4" t="inlineStr">
        <is>
          <t>Required</t>
        </is>
      </c>
      <c r="F13" s="4" t="inlineStr">
        <is>
          <t>Needs review</t>
        </is>
      </c>
      <c r="G13" s="4" t="inlineStr">
        <is>
          <t>Mughsayl HTML demo — DUMMY DATA, not an approved report</t>
        </is>
      </c>
      <c r="H13" s="4" t="inlineStr">
        <is>
          <t>For example: original including contingency, or approved VO.2 total.</t>
        </is>
      </c>
    </row>
    <row r="14" ht="46" customHeight="1">
      <c r="A14" s="5" t="inlineStr">
        <is>
          <t>award_date</t>
        </is>
      </c>
      <c r="B14" s="4" t="inlineStr">
        <is>
          <t>Awarding date</t>
        </is>
      </c>
      <c r="C14" s="8" t="n">
        <v>45658</v>
      </c>
      <c r="D14" s="4" t="inlineStr">
        <is>
          <t>date</t>
        </is>
      </c>
      <c r="E14" s="4" t="inlineStr">
        <is>
          <t>Required</t>
        </is>
      </c>
      <c r="F14" s="4" t="inlineStr">
        <is>
          <t>Needs review</t>
        </is>
      </c>
      <c r="G14" s="4" t="inlineStr">
        <is>
          <t>Mughsayl HTML demo — DUMMY DATA, not an approved report</t>
        </is>
      </c>
      <c r="H14" s="4" t="inlineStr">
        <is>
          <t>Enter a real Excel date.</t>
        </is>
      </c>
    </row>
    <row r="15" ht="46" customHeight="1">
      <c r="A15" s="5" t="inlineStr">
        <is>
          <t>mobilization_days</t>
        </is>
      </c>
      <c r="B15" s="4" t="inlineStr">
        <is>
          <t>Mobilization period</t>
        </is>
      </c>
      <c r="C15" s="10" t="n">
        <v>60</v>
      </c>
      <c r="D15" s="4" t="inlineStr">
        <is>
          <t>days</t>
        </is>
      </c>
      <c r="E15" s="4" t="inlineStr">
        <is>
          <t>If reported</t>
        </is>
      </c>
      <c r="F15" s="4" t="inlineStr">
        <is>
          <t>Needs review</t>
        </is>
      </c>
      <c r="G15" s="4" t="inlineStr">
        <is>
          <t>Mughsayl HTML demo — DUMMY DATA, not an approved report</t>
        </is>
      </c>
      <c r="H15" s="4" t="inlineStr">
        <is>
          <t>Not automatically added to construction duration.</t>
        </is>
      </c>
    </row>
    <row r="16" ht="46" customHeight="1">
      <c r="A16" s="5" t="inlineStr">
        <is>
          <t>construction_days</t>
        </is>
      </c>
      <c r="B16" s="4" t="inlineStr">
        <is>
          <t>Original construction period</t>
        </is>
      </c>
      <c r="C16" s="10" t="n">
        <v>912</v>
      </c>
      <c r="D16" s="4" t="inlineStr">
        <is>
          <t>days</t>
        </is>
      </c>
      <c r="E16" s="4" t="inlineStr">
        <is>
          <t>Required</t>
        </is>
      </c>
      <c r="F16" s="4" t="inlineStr">
        <is>
          <t>Needs review</t>
        </is>
      </c>
      <c r="G16" s="4" t="inlineStr">
        <is>
          <t>Mughsayl HTML demo — DUMMY DATA, not an approved report</t>
        </is>
      </c>
      <c r="H16" s="4" t="inlineStr">
        <is>
          <t>Sample: 669 days.</t>
        </is>
      </c>
    </row>
    <row r="17" ht="46" customHeight="1">
      <c r="A17" s="5" t="inlineStr">
        <is>
          <t>start_date</t>
        </is>
      </c>
      <c r="B17" s="4" t="inlineStr">
        <is>
          <t>Start of construction</t>
        </is>
      </c>
      <c r="C17" s="8" t="n">
        <v>45718</v>
      </c>
      <c r="D17" s="4" t="inlineStr">
        <is>
          <t>date</t>
        </is>
      </c>
      <c r="E17" s="4" t="inlineStr">
        <is>
          <t>Required</t>
        </is>
      </c>
      <c r="F17" s="4" t="inlineStr">
        <is>
          <t>Needs review</t>
        </is>
      </c>
      <c r="G17" s="4" t="inlineStr">
        <is>
          <t>Mughsayl HTML demo — DUMMY DATA, not an approved report</t>
        </is>
      </c>
      <c r="H17" s="4" t="inlineStr">
        <is>
          <t>As printed; reconcile with duration separately.</t>
        </is>
      </c>
    </row>
    <row r="18" ht="46" customHeight="1">
      <c r="A18" s="5" t="inlineStr">
        <is>
          <t>completion_date</t>
        </is>
      </c>
      <c r="B18" s="4" t="inlineStr">
        <is>
          <t>Contract completion date</t>
        </is>
      </c>
      <c r="C18" s="8" t="n">
        <v>46629</v>
      </c>
      <c r="D18" s="4" t="inlineStr">
        <is>
          <t>date</t>
        </is>
      </c>
      <c r="E18" s="4" t="inlineStr">
        <is>
          <t>Required</t>
        </is>
      </c>
      <c r="F18" s="4" t="inlineStr">
        <is>
          <t>Needs review</t>
        </is>
      </c>
      <c r="G18" s="4" t="inlineStr">
        <is>
          <t>Mughsayl HTML demo — DUMMY DATA, not an approved report</t>
        </is>
      </c>
      <c r="H18" s="4" t="inlineStr">
        <is>
          <t>Original contractual completion date.</t>
        </is>
      </c>
    </row>
    <row r="19" ht="46" customHeight="1">
      <c r="A19" s="5" t="inlineStr">
        <is>
          <t>construction_days_with_vos</t>
        </is>
      </c>
      <c r="B19" s="4" t="inlineStr">
        <is>
          <t>Construction period with VOs</t>
        </is>
      </c>
      <c r="C19" s="10" t="n"/>
      <c r="D19" s="4" t="inlineStr">
        <is>
          <t>days</t>
        </is>
      </c>
      <c r="E19" s="4" t="inlineStr">
        <is>
          <t>If applicable</t>
        </is>
      </c>
      <c r="F19" s="4" t="inlineStr">
        <is>
          <t>Not reported</t>
        </is>
      </c>
      <c r="G19" s="4" t="inlineStr"/>
      <c r="H19" s="4" t="inlineStr">
        <is>
          <t>Sample prints a dash; do not interpret this as zero.</t>
        </is>
      </c>
    </row>
    <row r="20" ht="46" customHeight="1">
      <c r="A20" s="5" t="inlineStr">
        <is>
          <t>completion_date_with_vos</t>
        </is>
      </c>
      <c r="B20" s="4" t="inlineStr">
        <is>
          <t>Completion date with VOs</t>
        </is>
      </c>
      <c r="C20" s="8" t="n"/>
      <c r="D20" s="4" t="inlineStr">
        <is>
          <t>date</t>
        </is>
      </c>
      <c r="E20" s="4" t="inlineStr">
        <is>
          <t>If applicable</t>
        </is>
      </c>
      <c r="F20" s="4" t="inlineStr">
        <is>
          <t>Not reported</t>
        </is>
      </c>
      <c r="G20" s="4" t="inlineStr"/>
      <c r="H20" s="4" t="inlineStr">
        <is>
          <t>Leave blank if unreported.</t>
        </is>
      </c>
    </row>
    <row r="21" ht="46" customHeight="1">
      <c r="A21" s="5" t="inlineStr">
        <is>
          <t>elapsed_days</t>
        </is>
      </c>
      <c r="B21" s="4" t="inlineStr">
        <is>
          <t>Elapsed time</t>
        </is>
      </c>
      <c r="C21" s="10" t="n">
        <v>517</v>
      </c>
      <c r="D21" s="4" t="inlineStr">
        <is>
          <t>days</t>
        </is>
      </c>
      <c r="E21" s="4" t="inlineStr">
        <is>
          <t>Required</t>
        </is>
      </c>
      <c r="F21" s="4" t="inlineStr">
        <is>
          <t>Needs review</t>
        </is>
      </c>
      <c r="G21" s="4" t="inlineStr">
        <is>
          <t>Mughsayl HTML demo — DUMMY DATA, not an approved report</t>
        </is>
      </c>
      <c r="H21" s="4" t="inlineStr">
        <is>
          <t>Reported duration; check against remaining days.</t>
        </is>
      </c>
    </row>
    <row r="22" ht="46" customHeight="1">
      <c r="A22" s="5" t="inlineStr">
        <is>
          <t>remaining_days</t>
        </is>
      </c>
      <c r="B22" s="4" t="inlineStr">
        <is>
          <t>Remaining period</t>
        </is>
      </c>
      <c r="C22" s="10" t="n">
        <v>395</v>
      </c>
      <c r="D22" s="4" t="inlineStr">
        <is>
          <t>days</t>
        </is>
      </c>
      <c r="E22" s="4" t="inlineStr">
        <is>
          <t>Required</t>
        </is>
      </c>
      <c r="F22" s="4" t="inlineStr">
        <is>
          <t>Needs review</t>
        </is>
      </c>
      <c r="G22" s="4" t="inlineStr">
        <is>
          <t>Mughsayl HTML demo — DUMMY DATA, not an approved report</t>
        </is>
      </c>
      <c r="H22" s="4" t="inlineStr">
        <is>
          <t>Do not calculate from today; this is a monthly snapshot.</t>
        </is>
      </c>
    </row>
    <row r="23" ht="46" customHeight="1">
      <c r="A23" s="5" t="inlineStr">
        <is>
          <t>expected_completion</t>
        </is>
      </c>
      <c r="B23" s="4" t="inlineStr">
        <is>
          <t>Expected completion date</t>
        </is>
      </c>
      <c r="C23" s="8" t="n">
        <v>46629</v>
      </c>
      <c r="D23" s="4" t="inlineStr">
        <is>
          <t>date</t>
        </is>
      </c>
      <c r="E23" s="4" t="inlineStr">
        <is>
          <t>Required</t>
        </is>
      </c>
      <c r="F23" s="4" t="inlineStr">
        <is>
          <t>Needs review</t>
        </is>
      </c>
      <c r="G23" s="4" t="inlineStr">
        <is>
          <t>Mughsayl HTML demo — DUMMY DATA, not an approved report</t>
        </is>
      </c>
      <c r="H23" s="4" t="inlineStr">
        <is>
          <t>Separate from original completion date.</t>
        </is>
      </c>
    </row>
  </sheetData>
  <mergeCells count="2">
    <mergeCell ref="A2:H2"/>
    <mergeCell ref="A1:H1"/>
  </mergeCells>
  <dataValidations count="14">
    <dataValidation sqref="C5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6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7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8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9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10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11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12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15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16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19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21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22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F4:F23" showDropDown="0" showInputMessage="0" showErrorMessage="1" allowBlank="1" errorTitle="Choose a listed value" error="Use the dropdown choices." type="list">
      <formula1>"Not reported,Not applicable,Entered,Needs review,Verified"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43" customWidth="1" min="2" max="2"/>
    <col width="40" customWidth="1" min="3" max="3"/>
    <col width="24" customWidth="1" min="4" max="4"/>
    <col width="24" customWidth="1" min="5" max="5"/>
    <col width="24" customWidth="1" min="6" max="6"/>
    <col width="35" customWidth="1" min="7" max="7"/>
    <col width="64" customWidth="1" min="8" max="8"/>
  </cols>
  <sheetData>
    <row r="1" ht="30" customHeight="1">
      <c r="A1" s="1" t="inlineStr">
        <is>
          <t>Progress Finance</t>
        </is>
      </c>
    </row>
    <row r="2" ht="48" customHeight="1">
      <c r="A2" s="2" t="inlineStr">
        <is>
          <t>Blue cells: enter data. Keep field keys, headers and sheet names unchanged. Missing numeric data = blank + a status, never invented zero.</t>
        </is>
      </c>
    </row>
    <row r="3" ht="32" customHeight="1">
      <c r="A3" s="3" t="inlineStr">
        <is>
          <t>Field key</t>
        </is>
      </c>
      <c r="B3" s="3" t="inlineStr">
        <is>
          <t>Field label</t>
        </is>
      </c>
      <c r="C3" s="3" t="inlineStr">
        <is>
          <t>Value</t>
        </is>
      </c>
      <c r="D3" s="3" t="inlineStr">
        <is>
          <t>Unit / type</t>
        </is>
      </c>
      <c r="E3" s="3" t="inlineStr">
        <is>
          <t>Requirement</t>
        </is>
      </c>
      <c r="F3" s="3" t="inlineStr">
        <is>
          <t>Entry status</t>
        </is>
      </c>
      <c r="G3" s="3" t="inlineStr">
        <is>
          <t>Source reference</t>
        </is>
      </c>
      <c r="H3" s="3" t="inlineStr">
        <is>
          <t>Instructions / clarification</t>
        </is>
      </c>
    </row>
    <row r="4" ht="46" customHeight="1">
      <c r="A4" s="5" t="inlineStr">
        <is>
          <t>physical_planned</t>
        </is>
      </c>
      <c r="B4" s="4" t="inlineStr">
        <is>
          <t>Bridge &amp; road cumulative planned progress</t>
        </is>
      </c>
      <c r="C4" s="11" t="n">
        <v>47.95</v>
      </c>
      <c r="D4" s="4" t="inlineStr">
        <is>
          <t>percent</t>
        </is>
      </c>
      <c r="E4" s="4" t="inlineStr">
        <is>
          <t>Required</t>
        </is>
      </c>
      <c r="F4" s="4" t="inlineStr">
        <is>
          <t>Needs review</t>
        </is>
      </c>
      <c r="G4" s="4" t="inlineStr">
        <is>
          <t>Mughsayl HTML demo — DUMMY DATA, not an approved report</t>
        </is>
      </c>
      <c r="H4" s="4" t="inlineStr">
        <is>
          <t>Enter 95 for 95%, NOT 0.95.</t>
        </is>
      </c>
    </row>
    <row r="5" ht="46" customHeight="1">
      <c r="A5" s="5" t="inlineStr">
        <is>
          <t>physical_actual</t>
        </is>
      </c>
      <c r="B5" s="4" t="inlineStr">
        <is>
          <t>Bridge &amp; road cumulative actual progress</t>
        </is>
      </c>
      <c r="C5" s="11" t="n">
        <v>40.94</v>
      </c>
      <c r="D5" s="4" t="inlineStr">
        <is>
          <t>percent</t>
        </is>
      </c>
      <c r="E5" s="4" t="inlineStr">
        <is>
          <t>Required</t>
        </is>
      </c>
      <c r="F5" s="4" t="inlineStr">
        <is>
          <t>Needs review</t>
        </is>
      </c>
      <c r="G5" s="4" t="inlineStr">
        <is>
          <t>Mughsayl HTML demo — DUMMY DATA, not an approved report</t>
        </is>
      </c>
      <c r="H5" s="4" t="inlineStr">
        <is>
          <t>Do not substitute financial progress.</t>
        </is>
      </c>
    </row>
    <row r="6" ht="46" customHeight="1">
      <c r="A6" s="5" t="inlineStr">
        <is>
          <t>physical_variance_reported</t>
        </is>
      </c>
      <c r="B6" s="4" t="inlineStr">
        <is>
          <t>Reported physical ahead / delay</t>
        </is>
      </c>
      <c r="C6" s="11" t="n">
        <v>-7.01</v>
      </c>
      <c r="D6" s="4" t="inlineStr">
        <is>
          <t>signed percent</t>
        </is>
      </c>
      <c r="E6" s="4" t="inlineStr">
        <is>
          <t>If reported</t>
        </is>
      </c>
      <c r="F6" s="4" t="inlineStr">
        <is>
          <t>Needs review</t>
        </is>
      </c>
      <c r="G6" s="4" t="inlineStr">
        <is>
          <t>Mughsayl HTML demo — DUMMY DATA, not an approved report</t>
        </is>
      </c>
      <c r="H6" s="4" t="inlineStr">
        <is>
          <t>Keep printed sign; calculated actual-minus-planned appears in Checks.</t>
        </is>
      </c>
    </row>
    <row r="7" ht="46" customHeight="1">
      <c r="A7" s="5" t="inlineStr">
        <is>
          <t>arches_planned</t>
        </is>
      </c>
      <c r="B7" s="4" t="inlineStr">
        <is>
          <t>Arches cumulative planned progress</t>
        </is>
      </c>
      <c r="C7" s="11" t="n"/>
      <c r="D7" s="4" t="inlineStr">
        <is>
          <t>percent</t>
        </is>
      </c>
      <c r="E7" s="4" t="inlineStr">
        <is>
          <t>If reported</t>
        </is>
      </c>
      <c r="F7" s="4" t="inlineStr">
        <is>
          <t>Not reported</t>
        </is>
      </c>
      <c r="G7" s="4" t="inlineStr"/>
      <c r="H7" s="4" t="inlineStr">
        <is>
          <t>Arches column is blank in sample. Activity-row figures belong on Activities.</t>
        </is>
      </c>
    </row>
    <row r="8" ht="46" customHeight="1">
      <c r="A8" s="5" t="inlineStr">
        <is>
          <t>arches_actual</t>
        </is>
      </c>
      <c r="B8" s="4" t="inlineStr">
        <is>
          <t>Arches cumulative actual progress</t>
        </is>
      </c>
      <c r="C8" s="11" t="n"/>
      <c r="D8" s="4" t="inlineStr">
        <is>
          <t>percent</t>
        </is>
      </c>
      <c r="E8" s="4" t="inlineStr">
        <is>
          <t>If reported</t>
        </is>
      </c>
      <c r="F8" s="4" t="inlineStr">
        <is>
          <t>Not reported</t>
        </is>
      </c>
      <c r="G8" s="4" t="inlineStr"/>
      <c r="H8" s="4" t="inlineStr">
        <is>
          <t>Do not copy overall bridge progress into this column.</t>
        </is>
      </c>
    </row>
    <row r="9" ht="46" customHeight="1">
      <c r="A9" s="5" t="inlineStr">
        <is>
          <t>monthly_planned</t>
        </is>
      </c>
      <c r="B9" s="4" t="inlineStr">
        <is>
          <t>This-month planned physical progress</t>
        </is>
      </c>
      <c r="C9" s="11" t="n">
        <v>3.72</v>
      </c>
      <c r="D9" s="4" t="inlineStr">
        <is>
          <t>percent</t>
        </is>
      </c>
      <c r="E9" s="4" t="inlineStr">
        <is>
          <t>If reported</t>
        </is>
      </c>
      <c r="F9" s="4" t="inlineStr">
        <is>
          <t>Needs review</t>
        </is>
      </c>
      <c r="G9" s="4" t="inlineStr">
        <is>
          <t>Mughsayl HTML demo — DUMMY DATA, not an approved report</t>
        </is>
      </c>
      <c r="H9" s="4" t="inlineStr">
        <is>
          <t>Leave blank if tiny chart table is unreadable.</t>
        </is>
      </c>
    </row>
    <row r="10" ht="46" customHeight="1">
      <c r="A10" s="5" t="inlineStr">
        <is>
          <t>monthly_actual</t>
        </is>
      </c>
      <c r="B10" s="4" t="inlineStr">
        <is>
          <t>This-month actual physical progress</t>
        </is>
      </c>
      <c r="C10" s="11" t="n">
        <v>1.69</v>
      </c>
      <c r="D10" s="4" t="inlineStr">
        <is>
          <t>percent</t>
        </is>
      </c>
      <c r="E10" s="4" t="inlineStr">
        <is>
          <t>If reported</t>
        </is>
      </c>
      <c r="F10" s="4" t="inlineStr">
        <is>
          <t>Needs review</t>
        </is>
      </c>
      <c r="G10" s="4" t="inlineStr">
        <is>
          <t>Mughsayl HTML demo — DUMMY DATA, not an approved report</t>
        </is>
      </c>
      <c r="H10" s="4" t="inlineStr">
        <is>
          <t>Never derive by estimating line heights.</t>
        </is>
      </c>
    </row>
    <row r="11" ht="46" customHeight="1">
      <c r="A11" s="5" t="inlineStr">
        <is>
          <t>financial_planned</t>
        </is>
      </c>
      <c r="B11" s="4" t="inlineStr">
        <is>
          <t>Financial cumulative planned progress</t>
        </is>
      </c>
      <c r="C11" s="11" t="n"/>
      <c r="D11" s="4" t="inlineStr">
        <is>
          <t>percent</t>
        </is>
      </c>
      <c r="E11" s="4" t="inlineStr">
        <is>
          <t>Required</t>
        </is>
      </c>
      <c r="F11" s="4" t="inlineStr">
        <is>
          <t>Not reported</t>
        </is>
      </c>
      <c r="G11" s="4" t="inlineStr"/>
      <c r="H11" s="4" t="inlineStr">
        <is>
          <t>Independent of physical planned progress.</t>
        </is>
      </c>
    </row>
    <row r="12" ht="46" customHeight="1">
      <c r="A12" s="5" t="inlineStr">
        <is>
          <t>financial_actual</t>
        </is>
      </c>
      <c r="B12" s="4" t="inlineStr">
        <is>
          <t>Financial cumulative actual progress</t>
        </is>
      </c>
      <c r="C12" s="11" t="n">
        <v>33.38</v>
      </c>
      <c r="D12" s="4" t="inlineStr">
        <is>
          <t>percent</t>
        </is>
      </c>
      <c r="E12" s="4" t="inlineStr">
        <is>
          <t>Required</t>
        </is>
      </c>
      <c r="F12" s="4" t="inlineStr">
        <is>
          <t>Needs review</t>
        </is>
      </c>
      <c r="G12" s="4" t="inlineStr">
        <is>
          <t>Mughsayl HTML demo — DUMMY DATA, not an approved report</t>
        </is>
      </c>
      <c r="H12" s="4" t="inlineStr">
        <is>
          <t>Confirm what this measure represents; do not assume paid / contract.</t>
        </is>
      </c>
    </row>
    <row r="13" ht="46" customHeight="1">
      <c r="A13" s="5" t="inlineStr">
        <is>
          <t>financial_difference_reported</t>
        </is>
      </c>
      <c r="B13" s="4" t="inlineStr">
        <is>
          <t>Printed financial difference</t>
        </is>
      </c>
      <c r="C13" s="11" t="n"/>
      <c r="D13" s="4" t="inlineStr">
        <is>
          <t>signed percent</t>
        </is>
      </c>
      <c r="E13" s="4" t="inlineStr">
        <is>
          <t>If reported</t>
        </is>
      </c>
      <c r="F13" s="4" t="inlineStr">
        <is>
          <t>Not reported</t>
        </is>
      </c>
      <c r="G13" s="4" t="inlineStr"/>
      <c r="H13" s="4" t="inlineStr">
        <is>
          <t>Sample prints +4.39 without a minus; actual-minus-planned is -4.39.</t>
        </is>
      </c>
    </row>
    <row r="14" ht="46" customHeight="1">
      <c r="A14" s="5" t="inlineStr">
        <is>
          <t>financial_difference_basis</t>
        </is>
      </c>
      <c r="B14" s="4" t="inlineStr">
        <is>
          <t>Meaning of reported financial difference</t>
        </is>
      </c>
      <c r="C14" s="6" t="n"/>
      <c r="D14" s="4" t="inlineStr">
        <is>
          <t>text</t>
        </is>
      </c>
      <c r="E14" s="4" t="inlineStr">
        <is>
          <t>Needs clarification</t>
        </is>
      </c>
      <c r="F14" s="4" t="inlineStr">
        <is>
          <t>Not reported</t>
        </is>
      </c>
      <c r="G14" s="4" t="inlineStr"/>
      <c r="H14" s="4" t="inlineStr">
        <is>
          <t>Confirm whether the source uses planned minus actual.</t>
        </is>
      </c>
    </row>
    <row r="15" ht="46" customHeight="1">
      <c r="A15" s="5" t="inlineStr">
        <is>
          <t>anticipated_payment</t>
        </is>
      </c>
      <c r="B15" s="4" t="inlineStr">
        <is>
          <t>Total payment anticipated</t>
        </is>
      </c>
      <c r="C15" s="9" t="n"/>
      <c r="D15" s="4" t="inlineStr">
        <is>
          <t>amount</t>
        </is>
      </c>
      <c r="E15" s="4" t="inlineStr">
        <is>
          <t>If reported</t>
        </is>
      </c>
      <c r="F15" s="4" t="inlineStr">
        <is>
          <t>Not reported</t>
        </is>
      </c>
      <c r="G15" s="4" t="inlineStr"/>
      <c r="H15" s="4" t="inlineStr">
        <is>
          <t>This is NOT total paid or certified amount.</t>
        </is>
      </c>
    </row>
    <row r="16" ht="46" customHeight="1">
      <c r="A16" s="5" t="inlineStr">
        <is>
          <t>paid_amount</t>
        </is>
      </c>
      <c r="B16" s="4" t="inlineStr">
        <is>
          <t>Total actually paid</t>
        </is>
      </c>
      <c r="C16" s="9" t="n">
        <v>10969331.064</v>
      </c>
      <c r="D16" s="4" t="inlineStr">
        <is>
          <t>amount</t>
        </is>
      </c>
      <c r="E16" s="4" t="inlineStr">
        <is>
          <t>If reported</t>
        </is>
      </c>
      <c r="F16" s="4" t="inlineStr">
        <is>
          <t>Needs review</t>
        </is>
      </c>
      <c r="G16" s="4" t="inlineStr">
        <is>
          <t>Mughsayl HTML demo — DUMMY DATA, not an approved report</t>
        </is>
      </c>
      <c r="H16" s="4" t="inlineStr">
        <is>
          <t>Not explicitly provided in sample. Keep blank.</t>
        </is>
      </c>
    </row>
    <row r="17" ht="46" customHeight="1">
      <c r="A17" s="5" t="inlineStr">
        <is>
          <t>certified_amount</t>
        </is>
      </c>
      <c r="B17" s="4" t="inlineStr">
        <is>
          <t>Total certified amount</t>
        </is>
      </c>
      <c r="C17" s="9" t="n"/>
      <c r="D17" s="4" t="inlineStr">
        <is>
          <t>amount</t>
        </is>
      </c>
      <c r="E17" s="4" t="inlineStr">
        <is>
          <t>If reported</t>
        </is>
      </c>
      <c r="F17" s="4" t="inlineStr">
        <is>
          <t>Not reported</t>
        </is>
      </c>
      <c r="G17" s="4" t="inlineStr"/>
      <c r="H17" s="4" t="inlineStr">
        <is>
          <t>Distinct from anticipated and actually paid amounts.</t>
        </is>
      </c>
    </row>
    <row r="18" ht="46" customHeight="1">
      <c r="A18" s="5" t="inlineStr">
        <is>
          <t>financial_basis</t>
        </is>
      </c>
      <c r="B18" s="4" t="inlineStr">
        <is>
          <t>Definition / denominator of financial percentage</t>
        </is>
      </c>
      <c r="C18" s="6" t="n"/>
      <c r="D18" s="4" t="inlineStr">
        <is>
          <t>text</t>
        </is>
      </c>
      <c r="E18" s="4" t="inlineStr">
        <is>
          <t>Needs clarification</t>
        </is>
      </c>
      <c r="F18" s="4" t="inlineStr">
        <is>
          <t>Not reported</t>
        </is>
      </c>
      <c r="G18" s="4" t="inlineStr"/>
      <c r="H18" s="4" t="inlineStr">
        <is>
          <t>Use to determine whether a paid-to-contract comparison is meaningful.</t>
        </is>
      </c>
    </row>
    <row r="19" ht="46" customHeight="1">
      <c r="A19" s="5" t="inlineStr">
        <is>
          <t>chart_mode</t>
        </is>
      </c>
      <c r="B19" s="4" t="inlineStr">
        <is>
          <t>S-curve representation</t>
        </is>
      </c>
      <c r="C19" s="6" t="inlineStr">
        <is>
          <t>Verified schedule</t>
        </is>
      </c>
      <c r="D19" s="4" t="inlineStr">
        <is>
          <t>text</t>
        </is>
      </c>
      <c r="E19" s="4" t="inlineStr">
        <is>
          <t>Required</t>
        </is>
      </c>
      <c r="F19" s="4" t="inlineStr">
        <is>
          <t>Needs review</t>
        </is>
      </c>
      <c r="G19" s="4" t="inlineStr">
        <is>
          <t>Mughsayl HTML demo — DUMMY DATA, not an approved report</t>
        </is>
      </c>
      <c r="H19" s="4" t="inlineStr">
        <is>
          <t>Choose Verified schedule or Source image; sample needs original chart/table.</t>
        </is>
      </c>
    </row>
  </sheetData>
  <mergeCells count="2">
    <mergeCell ref="A2:H2"/>
    <mergeCell ref="A1:H1"/>
  </mergeCells>
  <dataValidations count="15">
    <dataValidation sqref="C4" showDropDown="0" showInputMessage="0" showErrorMessage="1" allowBlank="1" error="Enter a number between 0 and 100; leave missing values blank." type="decimal" operator="between">
      <formula1>0</formula1>
      <formula2>100</formula2>
    </dataValidation>
    <dataValidation sqref="C5" showDropDown="0" showInputMessage="0" showErrorMessage="1" allowBlank="1" error="Enter a number between 0 and 100; leave missing values blank." type="decimal" operator="between">
      <formula1>0</formula1>
      <formula2>100</formula2>
    </dataValidation>
    <dataValidation sqref="C6" showDropDown="0" showInputMessage="0" showErrorMessage="1" allowBlank="1" error="Enter a number between -100 and 100; leave missing values blank." type="decimal" operator="between">
      <formula1>-100</formula1>
      <formula2>100</formula2>
    </dataValidation>
    <dataValidation sqref="C7" showDropDown="0" showInputMessage="0" showErrorMessage="1" allowBlank="1" error="Enter a number between 0 and 100; leave missing values blank." type="decimal" operator="between">
      <formula1>0</formula1>
      <formula2>100</formula2>
    </dataValidation>
    <dataValidation sqref="C8" showDropDown="0" showInputMessage="0" showErrorMessage="1" allowBlank="1" error="Enter a number between 0 and 100; leave missing values blank." type="decimal" operator="between">
      <formula1>0</formula1>
      <formula2>100</formula2>
    </dataValidation>
    <dataValidation sqref="C9" showDropDown="0" showInputMessage="0" showErrorMessage="1" allowBlank="1" error="Enter a number between 0 and 100; leave missing values blank." type="decimal" operator="between">
      <formula1>0</formula1>
      <formula2>100</formula2>
    </dataValidation>
    <dataValidation sqref="C10" showDropDown="0" showInputMessage="0" showErrorMessage="1" allowBlank="1" error="Enter a number between 0 and 100; leave missing values blank." type="decimal" operator="between">
      <formula1>0</formula1>
      <formula2>100</formula2>
    </dataValidation>
    <dataValidation sqref="C11" showDropDown="0" showInputMessage="0" showErrorMessage="1" allowBlank="1" error="Enter a number between 0 and 100; leave missing values blank." type="decimal" operator="between">
      <formula1>0</formula1>
      <formula2>100</formula2>
    </dataValidation>
    <dataValidation sqref="C12" showDropDown="0" showInputMessage="0" showErrorMessage="1" allowBlank="1" error="Enter a number between 0 and 100; leave missing values blank." type="decimal" operator="between">
      <formula1>0</formula1>
      <formula2>100</formula2>
    </dataValidation>
    <dataValidation sqref="C13" showDropDown="0" showInputMessage="0" showErrorMessage="1" allowBlank="1" error="Enter a number between -100 and 100; leave missing values blank." type="decimal" operator="between">
      <formula1>-100</formula1>
      <formula2>100</formula2>
    </dataValidation>
    <dataValidation sqref="C15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16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C17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F4:F19" showDropDown="0" showInputMessage="0" showErrorMessage="1" allowBlank="1" errorTitle="Choose a listed value" error="Use the dropdown choices." type="list">
      <formula1>"Not reported,Not applicable,Entered,Needs review,Verified"</formula1>
    </dataValidation>
    <dataValidation sqref="C19" showDropDown="0" showInputMessage="0" showErrorMessage="1" allowBlank="1" errorTitle="Choose a listed value" error="Use the dropdown choices." type="list">
      <formula1>"Verified schedule,Source image"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Physical progress of major activities</t>
        </is>
      </c>
    </row>
    <row r="2" ht="48" customHeight="1">
      <c r="A2" s="2" t="inlineStr">
        <is>
          <t>Percentages are percentage points: 100 = 100%. Above 100 is retained for review, not silently capped.</t>
        </is>
      </c>
    </row>
    <row r="3" ht="32" customHeight="1">
      <c r="A3" s="3" t="inlineStr">
        <is>
          <t>Activity ID</t>
        </is>
      </c>
      <c r="B3" s="3" t="inlineStr">
        <is>
          <t>Activity name</t>
        </is>
      </c>
      <c r="C3" s="3" t="inlineStr">
        <is>
          <t>Planned %</t>
        </is>
      </c>
      <c r="D3" s="3" t="inlineStr">
        <is>
          <t>Actual %</t>
        </is>
      </c>
      <c r="E3" s="3" t="inlineStr">
        <is>
          <t>Printed difference %</t>
        </is>
      </c>
      <c r="F3" s="3" t="inlineStr">
        <is>
          <t>Calculated actual-plan</t>
        </is>
      </c>
      <c r="G3" s="3" t="inlineStr">
        <is>
          <t>Entry status</t>
        </is>
      </c>
      <c r="H3" s="3" t="inlineStr">
        <is>
          <t>Source reference</t>
        </is>
      </c>
      <c r="I3" s="3" t="inlineStr">
        <is>
          <t>Notes</t>
        </is>
      </c>
    </row>
    <row r="4" ht="46" customHeight="1">
      <c r="A4" s="4" t="inlineStr">
        <is>
          <t>activity_01</t>
        </is>
      </c>
      <c r="B4" s="4" t="inlineStr">
        <is>
          <t>Mobilization</t>
        </is>
      </c>
      <c r="C4" s="4" t="n">
        <v>60</v>
      </c>
      <c r="D4" s="4" t="n">
        <v>60</v>
      </c>
      <c r="E4" s="4" t="n">
        <v>0</v>
      </c>
      <c r="F4" s="12">
        <f>IF(COUNT(C4:D4)=2,D4-C4,"")</f>
        <v/>
      </c>
      <c r="G4" s="4" t="inlineStr">
        <is>
          <t>Needs review</t>
        </is>
      </c>
      <c r="H4" s="4" t="inlineStr">
        <is>
          <t>Mughsayl HTML demo — DUMMY DATA, not an approved report</t>
        </is>
      </c>
      <c r="I4" s="4" t="inlineStr">
        <is>
          <t>Dummy activity figures from the demo; not for reporting.</t>
        </is>
      </c>
    </row>
    <row r="5" ht="46" customHeight="1">
      <c r="A5" s="4" t="inlineStr">
        <is>
          <t>activity_02</t>
        </is>
      </c>
      <c r="B5" s="4" t="inlineStr">
        <is>
          <t>Unclassified Excavation</t>
        </is>
      </c>
      <c r="C5" s="4" t="n">
        <v>62.72</v>
      </c>
      <c r="D5" s="4" t="n">
        <v>71.79000000000001</v>
      </c>
      <c r="E5" s="4" t="n">
        <v>9.07</v>
      </c>
      <c r="F5" s="12">
        <f>IF(COUNT(C5:D5)=2,D5-C5,"")</f>
        <v/>
      </c>
      <c r="G5" s="4" t="inlineStr">
        <is>
          <t>Needs review</t>
        </is>
      </c>
      <c r="H5" s="4" t="inlineStr">
        <is>
          <t>Mughsayl HTML demo — DUMMY DATA, not an approved report</t>
        </is>
      </c>
      <c r="I5" s="4" t="inlineStr">
        <is>
          <t>Dummy activity figures from the demo; not for reporting.</t>
        </is>
      </c>
    </row>
    <row r="6" ht="46" customHeight="1">
      <c r="A6" s="4" t="inlineStr">
        <is>
          <t>activity_03</t>
        </is>
      </c>
      <c r="B6" s="4" t="inlineStr">
        <is>
          <t>Unclassified Str. Excavation</t>
        </is>
      </c>
      <c r="C6" s="4" t="n">
        <v>98.97</v>
      </c>
      <c r="D6" s="4" t="n">
        <v>103.4</v>
      </c>
      <c r="E6" s="4" t="n">
        <v>4.43</v>
      </c>
      <c r="F6" s="12">
        <f>IF(COUNT(C6:D6)=2,D6-C6,"")</f>
        <v/>
      </c>
      <c r="G6" s="4" t="inlineStr">
        <is>
          <t>Needs review</t>
        </is>
      </c>
      <c r="H6" s="4" t="inlineStr">
        <is>
          <t>Mughsayl HTML demo — DUMMY DATA, not an approved report</t>
        </is>
      </c>
      <c r="I6" s="4" t="inlineStr">
        <is>
          <t>Dummy activity figures from the demo; not for reporting.</t>
        </is>
      </c>
    </row>
    <row r="7" ht="46" customHeight="1">
      <c r="A7" s="4" t="inlineStr">
        <is>
          <t>activity_04</t>
        </is>
      </c>
      <c r="B7" s="4" t="inlineStr">
        <is>
          <t>GSB (Class-B)</t>
        </is>
      </c>
      <c r="C7" s="4" t="n">
        <v>43</v>
      </c>
      <c r="D7" s="4" t="n">
        <v>30</v>
      </c>
      <c r="E7" s="4" t="n">
        <v>-13</v>
      </c>
      <c r="F7" s="12">
        <f>IF(COUNT(C7:D7)=2,D7-C7,"")</f>
        <v/>
      </c>
      <c r="G7" s="4" t="inlineStr">
        <is>
          <t>Needs review</t>
        </is>
      </c>
      <c r="H7" s="4" t="inlineStr">
        <is>
          <t>Mughsayl HTML demo — DUMMY DATA, not an approved report</t>
        </is>
      </c>
      <c r="I7" s="4" t="inlineStr">
        <is>
          <t>Dummy activity figures from the demo; not for reporting.</t>
        </is>
      </c>
    </row>
    <row r="8" ht="46" customHeight="1">
      <c r="A8" s="4" t="inlineStr">
        <is>
          <t>activity_05</t>
        </is>
      </c>
      <c r="B8" s="4" t="inlineStr">
        <is>
          <t>ABC (Class-B)</t>
        </is>
      </c>
      <c r="C8" s="4" t="n">
        <v>45.21</v>
      </c>
      <c r="D8" s="4" t="n">
        <v>24.92</v>
      </c>
      <c r="E8" s="4" t="n">
        <v>-20.29</v>
      </c>
      <c r="F8" s="12">
        <f>IF(COUNT(C8:D8)=2,D8-C8,"")</f>
        <v/>
      </c>
      <c r="G8" s="4" t="inlineStr">
        <is>
          <t>Needs review</t>
        </is>
      </c>
      <c r="H8" s="4" t="inlineStr">
        <is>
          <t>Mughsayl HTML demo — DUMMY DATA, not an approved report</t>
        </is>
      </c>
      <c r="I8" s="4" t="inlineStr">
        <is>
          <t>Dummy activity figures from the demo; not for reporting.</t>
        </is>
      </c>
    </row>
    <row r="9" ht="46" customHeight="1">
      <c r="A9" s="4" t="inlineStr">
        <is>
          <t>activity_06</t>
        </is>
      </c>
      <c r="B9" s="4" t="inlineStr">
        <is>
          <t>Bit. Base Course (Class-B)</t>
        </is>
      </c>
      <c r="C9" s="4" t="n">
        <v>43.94</v>
      </c>
      <c r="D9" s="4" t="n">
        <v>19.72</v>
      </c>
      <c r="E9" s="4" t="n">
        <v>-24.22</v>
      </c>
      <c r="F9" s="12">
        <f>IF(COUNT(C9:D9)=2,D9-C9,"")</f>
        <v/>
      </c>
      <c r="G9" s="4" t="inlineStr">
        <is>
          <t>Needs review</t>
        </is>
      </c>
      <c r="H9" s="4" t="inlineStr">
        <is>
          <t>Mughsayl HTML demo — DUMMY DATA, not an approved report</t>
        </is>
      </c>
      <c r="I9" s="4" t="inlineStr">
        <is>
          <t>Dummy activity figures from the demo; not for reporting.</t>
        </is>
      </c>
    </row>
    <row r="10" ht="46" customHeight="1">
      <c r="A10" s="4" t="inlineStr">
        <is>
          <t>activity_07</t>
        </is>
      </c>
      <c r="B10" s="4" t="inlineStr">
        <is>
          <t>Bit. Wearing (Class-B)</t>
        </is>
      </c>
      <c r="C10" s="4" t="n">
        <v>38.1</v>
      </c>
      <c r="D10" s="4" t="n">
        <v>0</v>
      </c>
      <c r="E10" s="4" t="n">
        <v>-38.1</v>
      </c>
      <c r="F10" s="12">
        <f>IF(COUNT(C10:D10)=2,D10-C10,"")</f>
        <v/>
      </c>
      <c r="G10" s="4" t="inlineStr">
        <is>
          <t>Needs review</t>
        </is>
      </c>
      <c r="H10" s="4" t="inlineStr">
        <is>
          <t>Mughsayl HTML demo — DUMMY DATA, not an approved report</t>
        </is>
      </c>
      <c r="I10" s="4" t="inlineStr">
        <is>
          <t>Dummy activity figures from the demo; not for reporting.</t>
        </is>
      </c>
    </row>
    <row r="11" ht="46" customHeight="1">
      <c r="A11" s="4" t="inlineStr">
        <is>
          <t>activity_08</t>
        </is>
      </c>
      <c r="B11" s="4" t="inlineStr">
        <is>
          <t>Concrete C-15</t>
        </is>
      </c>
      <c r="C11" s="4" t="n">
        <v>78.38</v>
      </c>
      <c r="D11" s="4" t="n">
        <v>78.68000000000001</v>
      </c>
      <c r="E11" s="4" t="n">
        <v>0.3</v>
      </c>
      <c r="F11" s="12">
        <f>IF(COUNT(C11:D11)=2,D11-C11,"")</f>
        <v/>
      </c>
      <c r="G11" s="4" t="inlineStr">
        <is>
          <t>Needs review</t>
        </is>
      </c>
      <c r="H11" s="4" t="inlineStr">
        <is>
          <t>Mughsayl HTML demo — DUMMY DATA, not an approved report</t>
        </is>
      </c>
      <c r="I11" s="4" t="inlineStr">
        <is>
          <t>Dummy activity figures from the demo; not for reporting.</t>
        </is>
      </c>
    </row>
    <row r="12" ht="46" customHeight="1">
      <c r="A12" s="4" t="inlineStr">
        <is>
          <t>activity_09</t>
        </is>
      </c>
      <c r="B12" s="4" t="inlineStr">
        <is>
          <t>Concrete C-35</t>
        </is>
      </c>
      <c r="C12" s="4" t="n">
        <v>63.67</v>
      </c>
      <c r="D12" s="4" t="n">
        <v>54.82</v>
      </c>
      <c r="E12" s="4" t="n">
        <v>-8.85</v>
      </c>
      <c r="F12" s="12">
        <f>IF(COUNT(C12:D12)=2,D12-C12,"")</f>
        <v/>
      </c>
      <c r="G12" s="4" t="inlineStr">
        <is>
          <t>Needs review</t>
        </is>
      </c>
      <c r="H12" s="4" t="inlineStr">
        <is>
          <t>Mughsayl HTML demo — DUMMY DATA, not an approved report</t>
        </is>
      </c>
      <c r="I12" s="4" t="inlineStr">
        <is>
          <t>Dummy activity figures from the demo; not for reporting.</t>
        </is>
      </c>
    </row>
    <row r="13" ht="46" customHeight="1">
      <c r="A13" s="4" t="inlineStr">
        <is>
          <t>activity_10</t>
        </is>
      </c>
      <c r="B13" s="4" t="inlineStr">
        <is>
          <t>Steel (any dia.)</t>
        </is>
      </c>
      <c r="C13" s="4" t="n">
        <v>65.59</v>
      </c>
      <c r="D13" s="4" t="n">
        <v>52.2</v>
      </c>
      <c r="E13" s="4" t="n">
        <v>-13.39</v>
      </c>
      <c r="F13" s="12">
        <f>IF(COUNT(C13:D13)=2,D13-C13,"")</f>
        <v/>
      </c>
      <c r="G13" s="4" t="inlineStr">
        <is>
          <t>Needs review</t>
        </is>
      </c>
      <c r="H13" s="4" t="inlineStr">
        <is>
          <t>Mughsayl HTML demo — DUMMY DATA, not an approved report</t>
        </is>
      </c>
      <c r="I13" s="4" t="inlineStr">
        <is>
          <t>Dummy activity figures from the demo; not for reporting.</t>
        </is>
      </c>
    </row>
    <row r="14" ht="46" customHeight="1">
      <c r="A14" s="4" t="inlineStr">
        <is>
          <t>activity_11</t>
        </is>
      </c>
      <c r="B14" s="4" t="n"/>
      <c r="C14" s="4" t="n"/>
      <c r="D14" s="4" t="n"/>
      <c r="E14" s="4" t="n"/>
      <c r="F14" s="12">
        <f>IF(COUNT(C14:D14)=2,D14-C14,"")</f>
        <v/>
      </c>
      <c r="G14" s="4" t="inlineStr">
        <is>
          <t>Not reported</t>
        </is>
      </c>
      <c r="H14" s="4" t="inlineStr"/>
      <c r="I14" s="4" t="n"/>
    </row>
    <row r="15" ht="46" customHeight="1">
      <c r="A15" s="4" t="inlineStr">
        <is>
          <t>activity_12</t>
        </is>
      </c>
      <c r="B15" s="4" t="n"/>
      <c r="C15" s="4" t="n"/>
      <c r="D15" s="4" t="n"/>
      <c r="E15" s="4" t="n"/>
      <c r="F15" s="12">
        <f>IF(COUNT(C15:D15)=2,D15-C15,"")</f>
        <v/>
      </c>
      <c r="G15" s="4" t="inlineStr">
        <is>
          <t>Not reported</t>
        </is>
      </c>
      <c r="H15" s="4" t="inlineStr"/>
      <c r="I15" s="4" t="n"/>
    </row>
    <row r="16" ht="46" customHeight="1">
      <c r="A16" s="4" t="inlineStr">
        <is>
          <t>activity_13</t>
        </is>
      </c>
      <c r="B16" s="4" t="n"/>
      <c r="C16" s="4" t="n"/>
      <c r="D16" s="4" t="n"/>
      <c r="E16" s="4" t="n"/>
      <c r="F16" s="12">
        <f>IF(COUNT(C16:D16)=2,D16-C16,"")</f>
        <v/>
      </c>
      <c r="G16" s="4" t="inlineStr">
        <is>
          <t>Not reported</t>
        </is>
      </c>
      <c r="H16" s="4" t="inlineStr"/>
      <c r="I16" s="4" t="n"/>
    </row>
    <row r="17" ht="46" customHeight="1">
      <c r="A17" s="4" t="inlineStr">
        <is>
          <t>activity_14</t>
        </is>
      </c>
      <c r="B17" s="4" t="n"/>
      <c r="C17" s="4" t="n"/>
      <c r="D17" s="4" t="n"/>
      <c r="E17" s="4" t="n"/>
      <c r="F17" s="12">
        <f>IF(COUNT(C17:D17)=2,D17-C17,"")</f>
        <v/>
      </c>
      <c r="G17" s="4" t="inlineStr">
        <is>
          <t>Not reported</t>
        </is>
      </c>
      <c r="H17" s="4" t="inlineStr"/>
      <c r="I17" s="4" t="n"/>
    </row>
    <row r="18" ht="46" customHeight="1">
      <c r="A18" s="4" t="inlineStr">
        <is>
          <t>activity_15</t>
        </is>
      </c>
      <c r="B18" s="4" t="n"/>
      <c r="C18" s="4" t="n"/>
      <c r="D18" s="4" t="n"/>
      <c r="E18" s="4" t="n"/>
      <c r="F18" s="12">
        <f>IF(COUNT(C18:D18)=2,D18-C18,"")</f>
        <v/>
      </c>
      <c r="G18" s="4" t="inlineStr">
        <is>
          <t>Not reported</t>
        </is>
      </c>
      <c r="H18" s="4" t="inlineStr"/>
      <c r="I18" s="4" t="n"/>
    </row>
    <row r="19" ht="46" customHeight="1">
      <c r="A19" s="4" t="inlineStr">
        <is>
          <t>activity_16</t>
        </is>
      </c>
      <c r="B19" s="4" t="n"/>
      <c r="C19" s="4" t="n"/>
      <c r="D19" s="4" t="n"/>
      <c r="E19" s="4" t="n"/>
      <c r="F19" s="12">
        <f>IF(COUNT(C19:D19)=2,D19-C19,"")</f>
        <v/>
      </c>
      <c r="G19" s="4" t="inlineStr">
        <is>
          <t>Not reported</t>
        </is>
      </c>
      <c r="H19" s="4" t="inlineStr"/>
      <c r="I19" s="4" t="n"/>
    </row>
    <row r="20" ht="46" customHeight="1">
      <c r="A20" s="4" t="inlineStr">
        <is>
          <t>activity_17</t>
        </is>
      </c>
      <c r="B20" s="4" t="n"/>
      <c r="C20" s="4" t="n"/>
      <c r="D20" s="4" t="n"/>
      <c r="E20" s="4" t="n"/>
      <c r="F20" s="12">
        <f>IF(COUNT(C20:D20)=2,D20-C20,"")</f>
        <v/>
      </c>
      <c r="G20" s="4" t="inlineStr">
        <is>
          <t>Not reported</t>
        </is>
      </c>
      <c r="H20" s="4" t="inlineStr"/>
      <c r="I20" s="4" t="n"/>
    </row>
    <row r="21" ht="46" customHeight="1">
      <c r="A21" s="4" t="inlineStr">
        <is>
          <t>activity_18</t>
        </is>
      </c>
      <c r="B21" s="4" t="n"/>
      <c r="C21" s="4" t="n"/>
      <c r="D21" s="4" t="n"/>
      <c r="E21" s="4" t="n"/>
      <c r="F21" s="12">
        <f>IF(COUNT(C21:D21)=2,D21-C21,"")</f>
        <v/>
      </c>
      <c r="G21" s="4" t="inlineStr">
        <is>
          <t>Not reported</t>
        </is>
      </c>
      <c r="H21" s="4" t="inlineStr"/>
      <c r="I21" s="4" t="n"/>
    </row>
    <row r="22" ht="46" customHeight="1">
      <c r="A22" s="4" t="inlineStr">
        <is>
          <t>activity_19</t>
        </is>
      </c>
      <c r="B22" s="4" t="n"/>
      <c r="C22" s="4" t="n"/>
      <c r="D22" s="4" t="n"/>
      <c r="E22" s="4" t="n"/>
      <c r="F22" s="12">
        <f>IF(COUNT(C22:D22)=2,D22-C22,"")</f>
        <v/>
      </c>
      <c r="G22" s="4" t="inlineStr">
        <is>
          <t>Not reported</t>
        </is>
      </c>
      <c r="H22" s="4" t="inlineStr"/>
      <c r="I22" s="4" t="n"/>
    </row>
    <row r="23" ht="46" customHeight="1">
      <c r="A23" s="4" t="inlineStr">
        <is>
          <t>activity_20</t>
        </is>
      </c>
      <c r="B23" s="4" t="n"/>
      <c r="C23" s="4" t="n"/>
      <c r="D23" s="4" t="n"/>
      <c r="E23" s="4" t="n"/>
      <c r="F23" s="12">
        <f>IF(COUNT(C23:D23)=2,D23-C23,"")</f>
        <v/>
      </c>
      <c r="G23" s="4" t="inlineStr">
        <is>
          <t>Not reported</t>
        </is>
      </c>
      <c r="H23" s="4" t="inlineStr"/>
      <c r="I23" s="4" t="n"/>
    </row>
  </sheetData>
  <mergeCells count="2">
    <mergeCell ref="A1:I1"/>
    <mergeCell ref="A2:I2"/>
  </mergeCells>
  <dataValidations count="3">
    <dataValidation sqref="G4:G23" showDropDown="0" showInputMessage="0" showErrorMessage="1" allowBlank="1" errorTitle="Choose a listed value" error="Use the dropdown choices." type="list">
      <formula1>"Not reported,Not applicable,Entered,Needs review,Verified"</formula1>
    </dataValidation>
    <dataValidation sqref="C4:D23" showDropDown="0" showInputMessage="0" showErrorMessage="1" allowBlank="1" error="Enter a number between 0 and 1000; leave missing values blank." type="decimal" operator="between">
      <formula1>0</formula1>
      <formula2>1000</formula2>
    </dataValidation>
    <dataValidation sqref="E4:E23" showDropDown="0" showInputMessage="0" showErrorMessage="1" allowBlank="1" error="Enter a number between -1000 and 1000; leave missing values blank." type="decimal" operator="between">
      <formula1>-1000</formula1>
      <formula2>1000</formula2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S-curve | monthly source values</t>
        </is>
      </c>
    </row>
    <row r="2" ht="48" customHeight="1">
      <c r="A2" s="2" t="inlineStr">
        <is>
          <t>Leave month cells blank until original values are available. Chronological order, one row per month; no invented zero start point.</t>
        </is>
      </c>
    </row>
    <row r="3" ht="32" customHeight="1">
      <c r="A3" s="3" t="inlineStr">
        <is>
          <t>Month</t>
        </is>
      </c>
      <c r="B3" s="3" t="inlineStr">
        <is>
          <t>Monthly planned %</t>
        </is>
      </c>
      <c r="C3" s="3" t="inlineStr">
        <is>
          <t>Monthly actual %</t>
        </is>
      </c>
      <c r="D3" s="3" t="inlineStr">
        <is>
          <t>Cumulative planned %</t>
        </is>
      </c>
      <c r="E3" s="3" t="inlineStr">
        <is>
          <t>Cumulative actual %</t>
        </is>
      </c>
      <c r="F3" s="3" t="inlineStr">
        <is>
          <t>Monthly actual-plan</t>
        </is>
      </c>
      <c r="G3" s="3" t="inlineStr">
        <is>
          <t>Entry status</t>
        </is>
      </c>
      <c r="H3" s="3" t="inlineStr">
        <is>
          <t>Source reference</t>
        </is>
      </c>
      <c r="I3" s="3" t="inlineStr">
        <is>
          <t>Notes</t>
        </is>
      </c>
    </row>
    <row r="4" ht="46" customHeight="1">
      <c r="A4" s="7" t="n">
        <v>45689</v>
      </c>
      <c r="B4" s="4" t="n">
        <v>0.5</v>
      </c>
      <c r="C4" s="4" t="n">
        <v>0.5</v>
      </c>
      <c r="D4" s="4" t="n">
        <v>0.5</v>
      </c>
      <c r="E4" s="4" t="n">
        <v>0.5</v>
      </c>
      <c r="F4" s="12">
        <f>IF(COUNT(B4:C4)=2,C4-B4,"")</f>
        <v/>
      </c>
      <c r="G4" s="4" t="inlineStr">
        <is>
          <t>Needs review</t>
        </is>
      </c>
      <c r="H4" s="4" t="inlineStr">
        <is>
          <t>Mughsayl HTML demo — DUMMY DATA, not an approved report</t>
        </is>
      </c>
      <c r="I4" s="4" t="inlineStr">
        <is>
          <t>Dummy programme; future actuals intentionally blank.</t>
        </is>
      </c>
    </row>
    <row r="5" ht="46" customHeight="1">
      <c r="A5" s="7" t="n">
        <v>45717</v>
      </c>
      <c r="B5" s="4" t="n">
        <v>0.6</v>
      </c>
      <c r="C5" s="4" t="n">
        <v>0.6</v>
      </c>
      <c r="D5" s="4" t="n">
        <v>1.1</v>
      </c>
      <c r="E5" s="4" t="n">
        <v>1.1</v>
      </c>
      <c r="F5" s="12">
        <f>IF(COUNT(B5:C5)=2,C5-B5,"")</f>
        <v/>
      </c>
      <c r="G5" s="4" t="inlineStr">
        <is>
          <t>Needs review</t>
        </is>
      </c>
      <c r="H5" s="4" t="inlineStr">
        <is>
          <t>Mughsayl HTML demo — DUMMY DATA, not an approved report</t>
        </is>
      </c>
      <c r="I5" s="4" t="inlineStr">
        <is>
          <t>Dummy programme; future actuals intentionally blank.</t>
        </is>
      </c>
    </row>
    <row r="6" ht="46" customHeight="1">
      <c r="A6" s="7" t="n">
        <v>45748</v>
      </c>
      <c r="B6" s="4" t="n">
        <v>0.8</v>
      </c>
      <c r="C6" s="4" t="n">
        <v>0.8</v>
      </c>
      <c r="D6" s="4" t="n">
        <v>1.9</v>
      </c>
      <c r="E6" s="4" t="n">
        <v>1.9</v>
      </c>
      <c r="F6" s="12">
        <f>IF(COUNT(B6:C6)=2,C6-B6,"")</f>
        <v/>
      </c>
      <c r="G6" s="4" t="inlineStr">
        <is>
          <t>Needs review</t>
        </is>
      </c>
      <c r="H6" s="4" t="inlineStr">
        <is>
          <t>Mughsayl HTML demo — DUMMY DATA, not an approved report</t>
        </is>
      </c>
      <c r="I6" s="4" t="inlineStr">
        <is>
          <t>Dummy programme; future actuals intentionally blank.</t>
        </is>
      </c>
    </row>
    <row r="7" ht="46" customHeight="1">
      <c r="A7" s="7" t="n">
        <v>45778</v>
      </c>
      <c r="B7" s="4" t="n">
        <v>1.1</v>
      </c>
      <c r="C7" s="4" t="n">
        <v>1.1</v>
      </c>
      <c r="D7" s="4" t="n">
        <v>3</v>
      </c>
      <c r="E7" s="4" t="n">
        <v>3</v>
      </c>
      <c r="F7" s="12">
        <f>IF(COUNT(B7:C7)=2,C7-B7,"")</f>
        <v/>
      </c>
      <c r="G7" s="4" t="inlineStr">
        <is>
          <t>Needs review</t>
        </is>
      </c>
      <c r="H7" s="4" t="inlineStr">
        <is>
          <t>Mughsayl HTML demo — DUMMY DATA, not an approved report</t>
        </is>
      </c>
      <c r="I7" s="4" t="inlineStr">
        <is>
          <t>Dummy programme; future actuals intentionally blank.</t>
        </is>
      </c>
    </row>
    <row r="8" ht="46" customHeight="1">
      <c r="A8" s="7" t="n">
        <v>45809</v>
      </c>
      <c r="B8" s="4" t="n">
        <v>1.5</v>
      </c>
      <c r="C8" s="4" t="n">
        <v>1.5</v>
      </c>
      <c r="D8" s="4" t="n">
        <v>4.5</v>
      </c>
      <c r="E8" s="4" t="n">
        <v>4.5</v>
      </c>
      <c r="F8" s="12">
        <f>IF(COUNT(B8:C8)=2,C8-B8,"")</f>
        <v/>
      </c>
      <c r="G8" s="4" t="inlineStr">
        <is>
          <t>Needs review</t>
        </is>
      </c>
      <c r="H8" s="4" t="inlineStr">
        <is>
          <t>Mughsayl HTML demo — DUMMY DATA, not an approved report</t>
        </is>
      </c>
      <c r="I8" s="4" t="inlineStr">
        <is>
          <t>Dummy programme; future actuals intentionally blank.</t>
        </is>
      </c>
    </row>
    <row r="9" ht="46" customHeight="1">
      <c r="A9" s="7" t="n">
        <v>45839</v>
      </c>
      <c r="B9" s="4" t="n">
        <v>1.8</v>
      </c>
      <c r="C9" s="4" t="n">
        <v>1.8</v>
      </c>
      <c r="D9" s="4" t="n">
        <v>6.3</v>
      </c>
      <c r="E9" s="4" t="n">
        <v>6.3</v>
      </c>
      <c r="F9" s="12">
        <f>IF(COUNT(B9:C9)=2,C9-B9,"")</f>
        <v/>
      </c>
      <c r="G9" s="4" t="inlineStr">
        <is>
          <t>Needs review</t>
        </is>
      </c>
      <c r="H9" s="4" t="inlineStr">
        <is>
          <t>Mughsayl HTML demo — DUMMY DATA, not an approved report</t>
        </is>
      </c>
      <c r="I9" s="4" t="inlineStr">
        <is>
          <t>Dummy programme; future actuals intentionally blank.</t>
        </is>
      </c>
    </row>
    <row r="10" ht="46" customHeight="1">
      <c r="A10" s="7" t="n">
        <v>45870</v>
      </c>
      <c r="B10" s="4" t="n">
        <v>2.1</v>
      </c>
      <c r="C10" s="4" t="n">
        <v>2.1</v>
      </c>
      <c r="D10" s="4" t="n">
        <v>8.4</v>
      </c>
      <c r="E10" s="4" t="n">
        <v>8.4</v>
      </c>
      <c r="F10" s="12">
        <f>IF(COUNT(B10:C10)=2,C10-B10,"")</f>
        <v/>
      </c>
      <c r="G10" s="4" t="inlineStr">
        <is>
          <t>Needs review</t>
        </is>
      </c>
      <c r="H10" s="4" t="inlineStr">
        <is>
          <t>Mughsayl HTML demo — DUMMY DATA, not an approved report</t>
        </is>
      </c>
      <c r="I10" s="4" t="inlineStr">
        <is>
          <t>Dummy programme; future actuals intentionally blank.</t>
        </is>
      </c>
    </row>
    <row r="11" ht="46" customHeight="1">
      <c r="A11" s="7" t="n">
        <v>45901</v>
      </c>
      <c r="B11" s="4" t="n">
        <v>2.5</v>
      </c>
      <c r="C11" s="4" t="n">
        <v>2.5</v>
      </c>
      <c r="D11" s="4" t="n">
        <v>10.9</v>
      </c>
      <c r="E11" s="4" t="n">
        <v>10.9</v>
      </c>
      <c r="F11" s="12">
        <f>IF(COUNT(B11:C11)=2,C11-B11,"")</f>
        <v/>
      </c>
      <c r="G11" s="4" t="inlineStr">
        <is>
          <t>Needs review</t>
        </is>
      </c>
      <c r="H11" s="4" t="inlineStr">
        <is>
          <t>Mughsayl HTML demo — DUMMY DATA, not an approved report</t>
        </is>
      </c>
      <c r="I11" s="4" t="inlineStr">
        <is>
          <t>Dummy programme; future actuals intentionally blank.</t>
        </is>
      </c>
    </row>
    <row r="12" ht="46" customHeight="1">
      <c r="A12" s="7" t="n">
        <v>45931</v>
      </c>
      <c r="B12" s="4" t="n">
        <v>2.8</v>
      </c>
      <c r="C12" s="4" t="n">
        <v>2.8</v>
      </c>
      <c r="D12" s="4" t="n">
        <v>13.7</v>
      </c>
      <c r="E12" s="4" t="n">
        <v>13.7</v>
      </c>
      <c r="F12" s="12">
        <f>IF(COUNT(B12:C12)=2,C12-B12,"")</f>
        <v/>
      </c>
      <c r="G12" s="4" t="inlineStr">
        <is>
          <t>Needs review</t>
        </is>
      </c>
      <c r="H12" s="4" t="inlineStr">
        <is>
          <t>Mughsayl HTML demo — DUMMY DATA, not an approved report</t>
        </is>
      </c>
      <c r="I12" s="4" t="inlineStr">
        <is>
          <t>Dummy programme; future actuals intentionally blank.</t>
        </is>
      </c>
    </row>
    <row r="13" ht="46" customHeight="1">
      <c r="A13" s="7" t="n">
        <v>45962</v>
      </c>
      <c r="B13" s="4" t="n">
        <v>3.1</v>
      </c>
      <c r="C13" s="4" t="n">
        <v>3.1</v>
      </c>
      <c r="D13" s="4" t="n">
        <v>16.8</v>
      </c>
      <c r="E13" s="4" t="n">
        <v>16.8</v>
      </c>
      <c r="F13" s="12">
        <f>IF(COUNT(B13:C13)=2,C13-B13,"")</f>
        <v/>
      </c>
      <c r="G13" s="4" t="inlineStr">
        <is>
          <t>Needs review</t>
        </is>
      </c>
      <c r="H13" s="4" t="inlineStr">
        <is>
          <t>Mughsayl HTML demo — DUMMY DATA, not an approved report</t>
        </is>
      </c>
      <c r="I13" s="4" t="inlineStr">
        <is>
          <t>Dummy programme; future actuals intentionally blank.</t>
        </is>
      </c>
    </row>
    <row r="14" ht="46" customHeight="1">
      <c r="A14" s="7" t="n">
        <v>45992</v>
      </c>
      <c r="B14" s="4" t="n">
        <v>3.4</v>
      </c>
      <c r="C14" s="4" t="n">
        <v>3.4</v>
      </c>
      <c r="D14" s="4" t="n">
        <v>20.2</v>
      </c>
      <c r="E14" s="4" t="n">
        <v>20.2</v>
      </c>
      <c r="F14" s="12">
        <f>IF(COUNT(B14:C14)=2,C14-B14,"")</f>
        <v/>
      </c>
      <c r="G14" s="4" t="inlineStr">
        <is>
          <t>Needs review</t>
        </is>
      </c>
      <c r="H14" s="4" t="inlineStr">
        <is>
          <t>Mughsayl HTML demo — DUMMY DATA, not an approved report</t>
        </is>
      </c>
      <c r="I14" s="4" t="inlineStr">
        <is>
          <t>Dummy programme; future actuals intentionally blank.</t>
        </is>
      </c>
    </row>
    <row r="15" ht="46" customHeight="1">
      <c r="A15" s="7" t="n">
        <v>46023</v>
      </c>
      <c r="B15" s="4" t="n">
        <v>3.6</v>
      </c>
      <c r="C15" s="4" t="n">
        <v>3.6</v>
      </c>
      <c r="D15" s="4" t="n">
        <v>23.8</v>
      </c>
      <c r="E15" s="4" t="n">
        <v>23.8</v>
      </c>
      <c r="F15" s="12">
        <f>IF(COUNT(B15:C15)=2,C15-B15,"")</f>
        <v/>
      </c>
      <c r="G15" s="4" t="inlineStr">
        <is>
          <t>Needs review</t>
        </is>
      </c>
      <c r="H15" s="4" t="inlineStr">
        <is>
          <t>Mughsayl HTML demo — DUMMY DATA, not an approved report</t>
        </is>
      </c>
      <c r="I15" s="4" t="inlineStr">
        <is>
          <t>Dummy programme; future actuals intentionally blank.</t>
        </is>
      </c>
    </row>
    <row r="16" ht="46" customHeight="1">
      <c r="A16" s="7" t="n">
        <v>46054</v>
      </c>
      <c r="B16" s="4" t="n">
        <v>3.8</v>
      </c>
      <c r="C16" s="4" t="n">
        <v>3.5</v>
      </c>
      <c r="D16" s="4" t="n">
        <v>27.6</v>
      </c>
      <c r="E16" s="4" t="n">
        <v>27.3</v>
      </c>
      <c r="F16" s="12">
        <f>IF(COUNT(B16:C16)=2,C16-B16,"")</f>
        <v/>
      </c>
      <c r="G16" s="4" t="inlineStr">
        <is>
          <t>Needs review</t>
        </is>
      </c>
      <c r="H16" s="4" t="inlineStr">
        <is>
          <t>Mughsayl HTML demo — DUMMY DATA, not an approved report</t>
        </is>
      </c>
      <c r="I16" s="4" t="inlineStr">
        <is>
          <t>Dummy programme; future actuals intentionally blank.</t>
        </is>
      </c>
    </row>
    <row r="17" ht="46" customHeight="1">
      <c r="A17" s="7" t="n">
        <v>46082</v>
      </c>
      <c r="B17" s="4" t="n">
        <v>3.9</v>
      </c>
      <c r="C17" s="4" t="n">
        <v>3.2</v>
      </c>
      <c r="D17" s="4" t="n">
        <v>31.5</v>
      </c>
      <c r="E17" s="4" t="n">
        <v>30.5</v>
      </c>
      <c r="F17" s="12">
        <f>IF(COUNT(B17:C17)=2,C17-B17,"")</f>
        <v/>
      </c>
      <c r="G17" s="4" t="inlineStr">
        <is>
          <t>Needs review</t>
        </is>
      </c>
      <c r="H17" s="4" t="inlineStr">
        <is>
          <t>Mughsayl HTML demo — DUMMY DATA, not an approved report</t>
        </is>
      </c>
      <c r="I17" s="4" t="inlineStr">
        <is>
          <t>Dummy programme; future actuals intentionally blank.</t>
        </is>
      </c>
    </row>
    <row r="18" ht="46" customHeight="1">
      <c r="A18" s="7" t="n">
        <v>46113</v>
      </c>
      <c r="B18" s="4" t="n">
        <v>4</v>
      </c>
      <c r="C18" s="4" t="n">
        <v>3</v>
      </c>
      <c r="D18" s="4" t="n">
        <v>35.5</v>
      </c>
      <c r="E18" s="4" t="n">
        <v>33.5</v>
      </c>
      <c r="F18" s="12">
        <f>IF(COUNT(B18:C18)=2,C18-B18,"")</f>
        <v/>
      </c>
      <c r="G18" s="4" t="inlineStr">
        <is>
          <t>Needs review</t>
        </is>
      </c>
      <c r="H18" s="4" t="inlineStr">
        <is>
          <t>Mughsayl HTML demo — DUMMY DATA, not an approved report</t>
        </is>
      </c>
      <c r="I18" s="4" t="inlineStr">
        <is>
          <t>Dummy programme; future actuals intentionally blank.</t>
        </is>
      </c>
    </row>
    <row r="19" ht="46" customHeight="1">
      <c r="A19" s="7" t="n">
        <v>46143</v>
      </c>
      <c r="B19" s="4" t="n">
        <v>4.2</v>
      </c>
      <c r="C19" s="4" t="n">
        <v>2.5</v>
      </c>
      <c r="D19" s="4" t="n">
        <v>39.7</v>
      </c>
      <c r="E19" s="4" t="n">
        <v>36</v>
      </c>
      <c r="F19" s="12">
        <f>IF(COUNT(B19:C19)=2,C19-B19,"")</f>
        <v/>
      </c>
      <c r="G19" s="4" t="inlineStr">
        <is>
          <t>Needs review</t>
        </is>
      </c>
      <c r="H19" s="4" t="inlineStr">
        <is>
          <t>Mughsayl HTML demo — DUMMY DATA, not an approved report</t>
        </is>
      </c>
      <c r="I19" s="4" t="inlineStr">
        <is>
          <t>Dummy programme; future actuals intentionally blank.</t>
        </is>
      </c>
    </row>
    <row r="20" ht="46" customHeight="1">
      <c r="A20" s="7" t="n">
        <v>46174</v>
      </c>
      <c r="B20" s="4" t="n">
        <v>4.53</v>
      </c>
      <c r="C20" s="4" t="n">
        <v>3.25</v>
      </c>
      <c r="D20" s="4" t="n">
        <v>44.23</v>
      </c>
      <c r="E20" s="4" t="n">
        <v>39.25</v>
      </c>
      <c r="F20" s="12">
        <f>IF(COUNT(B20:C20)=2,C20-B20,"")</f>
        <v/>
      </c>
      <c r="G20" s="4" t="inlineStr">
        <is>
          <t>Needs review</t>
        </is>
      </c>
      <c r="H20" s="4" t="inlineStr">
        <is>
          <t>Mughsayl HTML demo — DUMMY DATA, not an approved report</t>
        </is>
      </c>
      <c r="I20" s="4" t="inlineStr">
        <is>
          <t>Dummy programme; future actuals intentionally blank.</t>
        </is>
      </c>
    </row>
    <row r="21" ht="46" customHeight="1">
      <c r="A21" s="7" t="n">
        <v>46204</v>
      </c>
      <c r="B21" s="4" t="n">
        <v>3.72</v>
      </c>
      <c r="C21" s="4" t="n">
        <v>1.69</v>
      </c>
      <c r="D21" s="4" t="n">
        <v>47.95</v>
      </c>
      <c r="E21" s="4" t="n">
        <v>40.94</v>
      </c>
      <c r="F21" s="12">
        <f>IF(COUNT(B21:C21)=2,C21-B21,"")</f>
        <v/>
      </c>
      <c r="G21" s="4" t="inlineStr">
        <is>
          <t>Needs review</t>
        </is>
      </c>
      <c r="H21" s="4" t="inlineStr">
        <is>
          <t>Mughsayl HTML demo — DUMMY DATA, not an approved report</t>
        </is>
      </c>
      <c r="I21" s="4" t="inlineStr">
        <is>
          <t>Dummy programme; future actuals intentionally blank.</t>
        </is>
      </c>
    </row>
    <row r="22" ht="46" customHeight="1">
      <c r="A22" s="7" t="n">
        <v>46235</v>
      </c>
      <c r="B22" s="4" t="n">
        <v>4</v>
      </c>
      <c r="C22" s="4" t="n"/>
      <c r="D22" s="4" t="n">
        <v>51.95</v>
      </c>
      <c r="E22" s="4" t="n"/>
      <c r="F22" s="12">
        <f>IF(COUNT(B22:C22)=2,C22-B22,"")</f>
        <v/>
      </c>
      <c r="G22" s="4" t="inlineStr">
        <is>
          <t>Needs review</t>
        </is>
      </c>
      <c r="H22" s="4" t="inlineStr">
        <is>
          <t>Mughsayl HTML demo — DUMMY DATA, not an approved report</t>
        </is>
      </c>
      <c r="I22" s="4" t="inlineStr">
        <is>
          <t>Dummy programme; future actuals intentionally blank.</t>
        </is>
      </c>
    </row>
    <row r="23" ht="46" customHeight="1">
      <c r="A23" s="7" t="n">
        <v>46266</v>
      </c>
      <c r="B23" s="4" t="n">
        <v>4.2</v>
      </c>
      <c r="C23" s="4" t="n"/>
      <c r="D23" s="4" t="n">
        <v>56.15</v>
      </c>
      <c r="E23" s="4" t="n"/>
      <c r="F23" s="12">
        <f>IF(COUNT(B23:C23)=2,C23-B23,"")</f>
        <v/>
      </c>
      <c r="G23" s="4" t="inlineStr">
        <is>
          <t>Needs review</t>
        </is>
      </c>
      <c r="H23" s="4" t="inlineStr">
        <is>
          <t>Mughsayl HTML demo — DUMMY DATA, not an approved report</t>
        </is>
      </c>
      <c r="I23" s="4" t="inlineStr">
        <is>
          <t>Dummy programme; future actuals intentionally blank.</t>
        </is>
      </c>
    </row>
    <row r="24" ht="46" customHeight="1">
      <c r="A24" s="7" t="n">
        <v>46296</v>
      </c>
      <c r="B24" s="4" t="n">
        <v>4.4</v>
      </c>
      <c r="C24" s="4" t="n"/>
      <c r="D24" s="4" t="n">
        <v>60.55</v>
      </c>
      <c r="E24" s="4" t="n"/>
      <c r="F24" s="12">
        <f>IF(COUNT(B24:C24)=2,C24-B24,"")</f>
        <v/>
      </c>
      <c r="G24" s="4" t="inlineStr">
        <is>
          <t>Needs review</t>
        </is>
      </c>
      <c r="H24" s="4" t="inlineStr">
        <is>
          <t>Mughsayl HTML demo — DUMMY DATA, not an approved report</t>
        </is>
      </c>
      <c r="I24" s="4" t="inlineStr">
        <is>
          <t>Dummy programme; future actuals intentionally blank.</t>
        </is>
      </c>
    </row>
    <row r="25" ht="46" customHeight="1">
      <c r="A25" s="7" t="n">
        <v>46327</v>
      </c>
      <c r="B25" s="4" t="n">
        <v>4.6</v>
      </c>
      <c r="C25" s="4" t="n"/>
      <c r="D25" s="4" t="n">
        <v>65.15000000000001</v>
      </c>
      <c r="E25" s="4" t="n"/>
      <c r="F25" s="12">
        <f>IF(COUNT(B25:C25)=2,C25-B25,"")</f>
        <v/>
      </c>
      <c r="G25" s="4" t="inlineStr">
        <is>
          <t>Needs review</t>
        </is>
      </c>
      <c r="H25" s="4" t="inlineStr">
        <is>
          <t>Mughsayl HTML demo — DUMMY DATA, not an approved report</t>
        </is>
      </c>
      <c r="I25" s="4" t="inlineStr">
        <is>
          <t>Dummy programme; future actuals intentionally blank.</t>
        </is>
      </c>
    </row>
    <row r="26" ht="46" customHeight="1">
      <c r="A26" s="7" t="n">
        <v>46357</v>
      </c>
      <c r="B26" s="4" t="n">
        <v>4.8</v>
      </c>
      <c r="C26" s="4" t="n"/>
      <c r="D26" s="4" t="n">
        <v>69.95</v>
      </c>
      <c r="E26" s="4" t="n"/>
      <c r="F26" s="12">
        <f>IF(COUNT(B26:C26)=2,C26-B26,"")</f>
        <v/>
      </c>
      <c r="G26" s="4" t="inlineStr">
        <is>
          <t>Needs review</t>
        </is>
      </c>
      <c r="H26" s="4" t="inlineStr">
        <is>
          <t>Mughsayl HTML demo — DUMMY DATA, not an approved report</t>
        </is>
      </c>
      <c r="I26" s="4" t="inlineStr">
        <is>
          <t>Dummy programme; future actuals intentionally blank.</t>
        </is>
      </c>
    </row>
    <row r="27" ht="46" customHeight="1">
      <c r="A27" s="7" t="n">
        <v>46388</v>
      </c>
      <c r="B27" s="4" t="n">
        <v>4.5</v>
      </c>
      <c r="C27" s="4" t="n"/>
      <c r="D27" s="4" t="n">
        <v>74.45</v>
      </c>
      <c r="E27" s="4" t="n"/>
      <c r="F27" s="12">
        <f>IF(COUNT(B27:C27)=2,C27-B27,"")</f>
        <v/>
      </c>
      <c r="G27" s="4" t="inlineStr">
        <is>
          <t>Needs review</t>
        </is>
      </c>
      <c r="H27" s="4" t="inlineStr">
        <is>
          <t>Mughsayl HTML demo — DUMMY DATA, not an approved report</t>
        </is>
      </c>
      <c r="I27" s="4" t="inlineStr">
        <is>
          <t>Dummy programme; future actuals intentionally blank.</t>
        </is>
      </c>
    </row>
    <row r="28" ht="46" customHeight="1">
      <c r="A28" s="7" t="n">
        <v>46419</v>
      </c>
      <c r="B28" s="4" t="n">
        <v>4.2</v>
      </c>
      <c r="C28" s="4" t="n"/>
      <c r="D28" s="4" t="n">
        <v>78.65000000000001</v>
      </c>
      <c r="E28" s="4" t="n"/>
      <c r="F28" s="12">
        <f>IF(COUNT(B28:C28)=2,C28-B28,"")</f>
        <v/>
      </c>
      <c r="G28" s="4" t="inlineStr">
        <is>
          <t>Needs review</t>
        </is>
      </c>
      <c r="H28" s="4" t="inlineStr">
        <is>
          <t>Mughsayl HTML demo — DUMMY DATA, not an approved report</t>
        </is>
      </c>
      <c r="I28" s="4" t="inlineStr">
        <is>
          <t>Dummy programme; future actuals intentionally blank.</t>
        </is>
      </c>
    </row>
    <row r="29" ht="46" customHeight="1">
      <c r="A29" s="7" t="n">
        <v>46447</v>
      </c>
      <c r="B29" s="4" t="n">
        <v>3.8</v>
      </c>
      <c r="C29" s="4" t="n"/>
      <c r="D29" s="4" t="n">
        <v>82.45</v>
      </c>
      <c r="E29" s="4" t="n"/>
      <c r="F29" s="12">
        <f>IF(COUNT(B29:C29)=2,C29-B29,"")</f>
        <v/>
      </c>
      <c r="G29" s="4" t="inlineStr">
        <is>
          <t>Needs review</t>
        </is>
      </c>
      <c r="H29" s="4" t="inlineStr">
        <is>
          <t>Mughsayl HTML demo — DUMMY DATA, not an approved report</t>
        </is>
      </c>
      <c r="I29" s="4" t="inlineStr">
        <is>
          <t>Dummy programme; future actuals intentionally blank.</t>
        </is>
      </c>
    </row>
    <row r="30" ht="46" customHeight="1">
      <c r="A30" s="7" t="n">
        <v>46478</v>
      </c>
      <c r="B30" s="4" t="n">
        <v>3.5</v>
      </c>
      <c r="C30" s="4" t="n"/>
      <c r="D30" s="4" t="n">
        <v>85.95</v>
      </c>
      <c r="E30" s="4" t="n"/>
      <c r="F30" s="12">
        <f>IF(COUNT(B30:C30)=2,C30-B30,"")</f>
        <v/>
      </c>
      <c r="G30" s="4" t="inlineStr">
        <is>
          <t>Needs review</t>
        </is>
      </c>
      <c r="H30" s="4" t="inlineStr">
        <is>
          <t>Mughsayl HTML demo — DUMMY DATA, not an approved report</t>
        </is>
      </c>
      <c r="I30" s="4" t="inlineStr">
        <is>
          <t>Dummy programme; future actuals intentionally blank.</t>
        </is>
      </c>
    </row>
    <row r="31" ht="46" customHeight="1">
      <c r="A31" s="7" t="n">
        <v>46508</v>
      </c>
      <c r="B31" s="4" t="n">
        <v>3</v>
      </c>
      <c r="C31" s="4" t="n"/>
      <c r="D31" s="4" t="n">
        <v>88.95</v>
      </c>
      <c r="E31" s="4" t="n"/>
      <c r="F31" s="12">
        <f>IF(COUNT(B31:C31)=2,C31-B31,"")</f>
        <v/>
      </c>
      <c r="G31" s="4" t="inlineStr">
        <is>
          <t>Needs review</t>
        </is>
      </c>
      <c r="H31" s="4" t="inlineStr">
        <is>
          <t>Mughsayl HTML demo — DUMMY DATA, not an approved report</t>
        </is>
      </c>
      <c r="I31" s="4" t="inlineStr">
        <is>
          <t>Dummy programme; future actuals intentionally blank.</t>
        </is>
      </c>
    </row>
    <row r="32" ht="46" customHeight="1">
      <c r="A32" s="7" t="n">
        <v>46539</v>
      </c>
      <c r="B32" s="4" t="n">
        <v>2.5</v>
      </c>
      <c r="C32" s="4" t="n"/>
      <c r="D32" s="4" t="n">
        <v>91.45</v>
      </c>
      <c r="E32" s="4" t="n"/>
      <c r="F32" s="12">
        <f>IF(COUNT(B32:C32)=2,C32-B32,"")</f>
        <v/>
      </c>
      <c r="G32" s="4" t="inlineStr">
        <is>
          <t>Needs review</t>
        </is>
      </c>
      <c r="H32" s="4" t="inlineStr">
        <is>
          <t>Mughsayl HTML demo — DUMMY DATA, not an approved report</t>
        </is>
      </c>
      <c r="I32" s="4" t="inlineStr">
        <is>
          <t>Dummy programme; future actuals intentionally blank.</t>
        </is>
      </c>
    </row>
    <row r="33" ht="46" customHeight="1">
      <c r="A33" s="7" t="n">
        <v>46569</v>
      </c>
      <c r="B33" s="4" t="n">
        <v>2</v>
      </c>
      <c r="C33" s="4" t="n"/>
      <c r="D33" s="4" t="n">
        <v>93.45</v>
      </c>
      <c r="E33" s="4" t="n"/>
      <c r="F33" s="12">
        <f>IF(COUNT(B33:C33)=2,C33-B33,"")</f>
        <v/>
      </c>
      <c r="G33" s="4" t="inlineStr">
        <is>
          <t>Needs review</t>
        </is>
      </c>
      <c r="H33" s="4" t="inlineStr">
        <is>
          <t>Mughsayl HTML demo — DUMMY DATA, not an approved report</t>
        </is>
      </c>
      <c r="I33" s="4" t="inlineStr">
        <is>
          <t>Dummy programme; future actuals intentionally blank.</t>
        </is>
      </c>
    </row>
    <row r="34" ht="46" customHeight="1">
      <c r="A34" s="7" t="n">
        <v>46600</v>
      </c>
      <c r="B34" s="4" t="n">
        <v>6.55</v>
      </c>
      <c r="C34" s="4" t="n"/>
      <c r="D34" s="4" t="n">
        <v>100</v>
      </c>
      <c r="E34" s="4" t="n"/>
      <c r="F34" s="12">
        <f>IF(COUNT(B34:C34)=2,C34-B34,"")</f>
        <v/>
      </c>
      <c r="G34" s="4" t="inlineStr">
        <is>
          <t>Needs review</t>
        </is>
      </c>
      <c r="H34" s="4" t="inlineStr">
        <is>
          <t>Mughsayl HTML demo — DUMMY DATA, not an approved report</t>
        </is>
      </c>
      <c r="I34" s="4" t="inlineStr">
        <is>
          <t>Dummy programme; future actuals intentionally blank.</t>
        </is>
      </c>
    </row>
    <row r="35" ht="46" customHeight="1">
      <c r="A35" s="7" t="n"/>
      <c r="B35" s="4" t="n"/>
      <c r="C35" s="4" t="n"/>
      <c r="D35" s="4" t="n"/>
      <c r="E35" s="4" t="n"/>
      <c r="F35" s="12">
        <f>IF(COUNT(B35:C35)=2,C35-B35,"")</f>
        <v/>
      </c>
      <c r="G35" s="4" t="n"/>
      <c r="H35" s="4" t="n"/>
      <c r="I35" s="4" t="n"/>
    </row>
    <row r="36" ht="46" customHeight="1">
      <c r="A36" s="7" t="n"/>
      <c r="B36" s="4" t="n"/>
      <c r="C36" s="4" t="n"/>
      <c r="D36" s="4" t="n"/>
      <c r="E36" s="4" t="n"/>
      <c r="F36" s="12">
        <f>IF(COUNT(B36:C36)=2,C36-B36,"")</f>
        <v/>
      </c>
      <c r="G36" s="4" t="n"/>
      <c r="H36" s="4" t="n"/>
      <c r="I36" s="4" t="n"/>
    </row>
    <row r="37" ht="46" customHeight="1">
      <c r="A37" s="7" t="n"/>
      <c r="B37" s="4" t="n"/>
      <c r="C37" s="4" t="n"/>
      <c r="D37" s="4" t="n"/>
      <c r="E37" s="4" t="n"/>
      <c r="F37" s="12">
        <f>IF(COUNT(B37:C37)=2,C37-B37,"")</f>
        <v/>
      </c>
      <c r="G37" s="4" t="n"/>
      <c r="H37" s="4" t="n"/>
      <c r="I37" s="4" t="n"/>
    </row>
    <row r="38" ht="46" customHeight="1">
      <c r="A38" s="7" t="n"/>
      <c r="B38" s="4" t="n"/>
      <c r="C38" s="4" t="n"/>
      <c r="D38" s="4" t="n"/>
      <c r="E38" s="4" t="n"/>
      <c r="F38" s="12">
        <f>IF(COUNT(B38:C38)=2,C38-B38,"")</f>
        <v/>
      </c>
      <c r="G38" s="4" t="n"/>
      <c r="H38" s="4" t="n"/>
      <c r="I38" s="4" t="n"/>
    </row>
    <row r="39" ht="46" customHeight="1">
      <c r="A39" s="7" t="n"/>
      <c r="B39" s="4" t="n"/>
      <c r="C39" s="4" t="n"/>
      <c r="D39" s="4" t="n"/>
      <c r="E39" s="4" t="n"/>
      <c r="F39" s="12">
        <f>IF(COUNT(B39:C39)=2,C39-B39,"")</f>
        <v/>
      </c>
      <c r="G39" s="4" t="n"/>
      <c r="H39" s="4" t="n"/>
      <c r="I39" s="4" t="n"/>
    </row>
    <row r="40" ht="46" customHeight="1">
      <c r="A40" s="7" t="n"/>
      <c r="B40" s="4" t="n"/>
      <c r="C40" s="4" t="n"/>
      <c r="D40" s="4" t="n"/>
      <c r="E40" s="4" t="n"/>
      <c r="F40" s="12">
        <f>IF(COUNT(B40:C40)=2,C40-B40,"")</f>
        <v/>
      </c>
      <c r="G40" s="4" t="n"/>
      <c r="H40" s="4" t="n"/>
      <c r="I40" s="4" t="n"/>
    </row>
    <row r="41" ht="46" customHeight="1">
      <c r="A41" s="7" t="n"/>
      <c r="B41" s="4" t="n"/>
      <c r="C41" s="4" t="n"/>
      <c r="D41" s="4" t="n"/>
      <c r="E41" s="4" t="n"/>
      <c r="F41" s="12">
        <f>IF(COUNT(B41:C41)=2,C41-B41,"")</f>
        <v/>
      </c>
      <c r="G41" s="4" t="n"/>
      <c r="H41" s="4" t="n"/>
      <c r="I41" s="4" t="n"/>
    </row>
    <row r="42" ht="46" customHeight="1">
      <c r="A42" s="7" t="n"/>
      <c r="B42" s="4" t="n"/>
      <c r="C42" s="4" t="n"/>
      <c r="D42" s="4" t="n"/>
      <c r="E42" s="4" t="n"/>
      <c r="F42" s="12">
        <f>IF(COUNT(B42:C42)=2,C42-B42,"")</f>
        <v/>
      </c>
      <c r="G42" s="4" t="n"/>
      <c r="H42" s="4" t="n"/>
      <c r="I42" s="4" t="n"/>
    </row>
    <row r="43" ht="46" customHeight="1">
      <c r="A43" s="7" t="n"/>
      <c r="B43" s="4" t="n"/>
      <c r="C43" s="4" t="n"/>
      <c r="D43" s="4" t="n"/>
      <c r="E43" s="4" t="n"/>
      <c r="F43" s="12">
        <f>IF(COUNT(B43:C43)=2,C43-B43,"")</f>
        <v/>
      </c>
      <c r="G43" s="4" t="n"/>
      <c r="H43" s="4" t="n"/>
      <c r="I43" s="4" t="n"/>
    </row>
    <row r="44" ht="46" customHeight="1">
      <c r="A44" s="7" t="n"/>
      <c r="B44" s="4" t="n"/>
      <c r="C44" s="4" t="n"/>
      <c r="D44" s="4" t="n"/>
      <c r="E44" s="4" t="n"/>
      <c r="F44" s="12">
        <f>IF(COUNT(B44:C44)=2,C44-B44,"")</f>
        <v/>
      </c>
      <c r="G44" s="4" t="n"/>
      <c r="H44" s="4" t="n"/>
      <c r="I44" s="4" t="n"/>
    </row>
    <row r="45" ht="46" customHeight="1">
      <c r="A45" s="7" t="n"/>
      <c r="B45" s="4" t="n"/>
      <c r="C45" s="4" t="n"/>
      <c r="D45" s="4" t="n"/>
      <c r="E45" s="4" t="n"/>
      <c r="F45" s="12">
        <f>IF(COUNT(B45:C45)=2,C45-B45,"")</f>
        <v/>
      </c>
      <c r="G45" s="4" t="n"/>
      <c r="H45" s="4" t="n"/>
      <c r="I45" s="4" t="n"/>
    </row>
    <row r="46" ht="46" customHeight="1">
      <c r="A46" s="7" t="n"/>
      <c r="B46" s="4" t="n"/>
      <c r="C46" s="4" t="n"/>
      <c r="D46" s="4" t="n"/>
      <c r="E46" s="4" t="n"/>
      <c r="F46" s="12">
        <f>IF(COUNT(B46:C46)=2,C46-B46,"")</f>
        <v/>
      </c>
      <c r="G46" s="4" t="n"/>
      <c r="H46" s="4" t="n"/>
      <c r="I46" s="4" t="n"/>
    </row>
    <row r="47" ht="46" customHeight="1">
      <c r="A47" s="7" t="n"/>
      <c r="B47" s="4" t="n"/>
      <c r="C47" s="4" t="n"/>
      <c r="D47" s="4" t="n"/>
      <c r="E47" s="4" t="n"/>
      <c r="F47" s="12">
        <f>IF(COUNT(B47:C47)=2,C47-B47,"")</f>
        <v/>
      </c>
      <c r="G47" s="4" t="n"/>
      <c r="H47" s="4" t="n"/>
      <c r="I47" s="4" t="n"/>
    </row>
    <row r="48" ht="46" customHeight="1">
      <c r="A48" s="7" t="n"/>
      <c r="B48" s="4" t="n"/>
      <c r="C48" s="4" t="n"/>
      <c r="D48" s="4" t="n"/>
      <c r="E48" s="4" t="n"/>
      <c r="F48" s="12">
        <f>IF(COUNT(B48:C48)=2,C48-B48,"")</f>
        <v/>
      </c>
      <c r="G48" s="4" t="n"/>
      <c r="H48" s="4" t="n"/>
      <c r="I48" s="4" t="n"/>
    </row>
    <row r="49" ht="46" customHeight="1">
      <c r="A49" s="7" t="n"/>
      <c r="B49" s="4" t="n"/>
      <c r="C49" s="4" t="n"/>
      <c r="D49" s="4" t="n"/>
      <c r="E49" s="4" t="n"/>
      <c r="F49" s="12">
        <f>IF(COUNT(B49:C49)=2,C49-B49,"")</f>
        <v/>
      </c>
      <c r="G49" s="4" t="n"/>
      <c r="H49" s="4" t="n"/>
      <c r="I49" s="4" t="n"/>
    </row>
    <row r="50" ht="46" customHeight="1">
      <c r="A50" s="7" t="n"/>
      <c r="B50" s="4" t="n"/>
      <c r="C50" s="4" t="n"/>
      <c r="D50" s="4" t="n"/>
      <c r="E50" s="4" t="n"/>
      <c r="F50" s="12">
        <f>IF(COUNT(B50:C50)=2,C50-B50,"")</f>
        <v/>
      </c>
      <c r="G50" s="4" t="n"/>
      <c r="H50" s="4" t="n"/>
      <c r="I50" s="4" t="n"/>
    </row>
    <row r="51" ht="46" customHeight="1">
      <c r="A51" s="7" t="n"/>
      <c r="B51" s="4" t="n"/>
      <c r="C51" s="4" t="n"/>
      <c r="D51" s="4" t="n"/>
      <c r="E51" s="4" t="n"/>
      <c r="F51" s="12">
        <f>IF(COUNT(B51:C51)=2,C51-B51,"")</f>
        <v/>
      </c>
      <c r="G51" s="4" t="n"/>
      <c r="H51" s="4" t="n"/>
      <c r="I51" s="4" t="n"/>
    </row>
    <row r="52" ht="46" customHeight="1">
      <c r="A52" s="7" t="n"/>
      <c r="B52" s="4" t="n"/>
      <c r="C52" s="4" t="n"/>
      <c r="D52" s="4" t="n"/>
      <c r="E52" s="4" t="n"/>
      <c r="F52" s="12">
        <f>IF(COUNT(B52:C52)=2,C52-B52,"")</f>
        <v/>
      </c>
      <c r="G52" s="4" t="n"/>
      <c r="H52" s="4" t="n"/>
      <c r="I52" s="4" t="n"/>
    </row>
    <row r="53" ht="46" customHeight="1">
      <c r="A53" s="7" t="n"/>
      <c r="B53" s="4" t="n"/>
      <c r="C53" s="4" t="n"/>
      <c r="D53" s="4" t="n"/>
      <c r="E53" s="4" t="n"/>
      <c r="F53" s="12">
        <f>IF(COUNT(B53:C53)=2,C53-B53,"")</f>
        <v/>
      </c>
      <c r="G53" s="4" t="n"/>
      <c r="H53" s="4" t="n"/>
      <c r="I53" s="4" t="n"/>
    </row>
    <row r="54" ht="46" customHeight="1">
      <c r="A54" s="7" t="n"/>
      <c r="B54" s="4" t="n"/>
      <c r="C54" s="4" t="n"/>
      <c r="D54" s="4" t="n"/>
      <c r="E54" s="4" t="n"/>
      <c r="F54" s="12">
        <f>IF(COUNT(B54:C54)=2,C54-B54,"")</f>
        <v/>
      </c>
      <c r="G54" s="4" t="n"/>
      <c r="H54" s="4" t="n"/>
      <c r="I54" s="4" t="n"/>
    </row>
    <row r="55" ht="46" customHeight="1">
      <c r="A55" s="7" t="n"/>
      <c r="B55" s="4" t="n"/>
      <c r="C55" s="4" t="n"/>
      <c r="D55" s="4" t="n"/>
      <c r="E55" s="4" t="n"/>
      <c r="F55" s="12">
        <f>IF(COUNT(B55:C55)=2,C55-B55,"")</f>
        <v/>
      </c>
      <c r="G55" s="4" t="n"/>
      <c r="H55" s="4" t="n"/>
      <c r="I55" s="4" t="n"/>
    </row>
    <row r="56" ht="46" customHeight="1">
      <c r="A56" s="7" t="n"/>
      <c r="B56" s="4" t="n"/>
      <c r="C56" s="4" t="n"/>
      <c r="D56" s="4" t="n"/>
      <c r="E56" s="4" t="n"/>
      <c r="F56" s="12">
        <f>IF(COUNT(B56:C56)=2,C56-B56,"")</f>
        <v/>
      </c>
      <c r="G56" s="4" t="n"/>
      <c r="H56" s="4" t="n"/>
      <c r="I56" s="4" t="n"/>
    </row>
    <row r="57" ht="46" customHeight="1">
      <c r="A57" s="7" t="n"/>
      <c r="B57" s="4" t="n"/>
      <c r="C57" s="4" t="n"/>
      <c r="D57" s="4" t="n"/>
      <c r="E57" s="4" t="n"/>
      <c r="F57" s="12">
        <f>IF(COUNT(B57:C57)=2,C57-B57,"")</f>
        <v/>
      </c>
      <c r="G57" s="4" t="n"/>
      <c r="H57" s="4" t="n"/>
      <c r="I57" s="4" t="n"/>
    </row>
    <row r="58" ht="46" customHeight="1">
      <c r="A58" s="7" t="n"/>
      <c r="B58" s="4" t="n"/>
      <c r="C58" s="4" t="n"/>
      <c r="D58" s="4" t="n"/>
      <c r="E58" s="4" t="n"/>
      <c r="F58" s="12">
        <f>IF(COUNT(B58:C58)=2,C58-B58,"")</f>
        <v/>
      </c>
      <c r="G58" s="4" t="n"/>
      <c r="H58" s="4" t="n"/>
      <c r="I58" s="4" t="n"/>
    </row>
    <row r="59" ht="46" customHeight="1">
      <c r="A59" s="7" t="n"/>
      <c r="B59" s="4" t="n"/>
      <c r="C59" s="4" t="n"/>
      <c r="D59" s="4" t="n"/>
      <c r="E59" s="4" t="n"/>
      <c r="F59" s="12">
        <f>IF(COUNT(B59:C59)=2,C59-B59,"")</f>
        <v/>
      </c>
      <c r="G59" s="4" t="n"/>
      <c r="H59" s="4" t="n"/>
      <c r="I59" s="4" t="n"/>
    </row>
    <row r="60" ht="46" customHeight="1">
      <c r="A60" s="7" t="n"/>
      <c r="B60" s="4" t="n"/>
      <c r="C60" s="4" t="n"/>
      <c r="D60" s="4" t="n"/>
      <c r="E60" s="4" t="n"/>
      <c r="F60" s="12">
        <f>IF(COUNT(B60:C60)=2,C60-B60,"")</f>
        <v/>
      </c>
      <c r="G60" s="4" t="n"/>
      <c r="H60" s="4" t="n"/>
      <c r="I60" s="4" t="n"/>
    </row>
    <row r="61" ht="46" customHeight="1">
      <c r="A61" s="7" t="n"/>
      <c r="B61" s="4" t="n"/>
      <c r="C61" s="4" t="n"/>
      <c r="D61" s="4" t="n"/>
      <c r="E61" s="4" t="n"/>
      <c r="F61" s="12">
        <f>IF(COUNT(B61:C61)=2,C61-B61,"")</f>
        <v/>
      </c>
      <c r="G61" s="4" t="n"/>
      <c r="H61" s="4" t="n"/>
      <c r="I61" s="4" t="n"/>
    </row>
    <row r="62" ht="46" customHeight="1">
      <c r="A62" s="7" t="n"/>
      <c r="B62" s="4" t="n"/>
      <c r="C62" s="4" t="n"/>
      <c r="D62" s="4" t="n"/>
      <c r="E62" s="4" t="n"/>
      <c r="F62" s="12">
        <f>IF(COUNT(B62:C62)=2,C62-B62,"")</f>
        <v/>
      </c>
      <c r="G62" s="4" t="n"/>
      <c r="H62" s="4" t="n"/>
      <c r="I62" s="4" t="n"/>
    </row>
    <row r="63" ht="46" customHeight="1">
      <c r="A63" s="7" t="n"/>
      <c r="B63" s="4" t="n"/>
      <c r="C63" s="4" t="n"/>
      <c r="D63" s="4" t="n"/>
      <c r="E63" s="4" t="n"/>
      <c r="F63" s="12">
        <f>IF(COUNT(B63:C63)=2,C63-B63,"")</f>
        <v/>
      </c>
      <c r="G63" s="4" t="n"/>
      <c r="H63" s="4" t="n"/>
      <c r="I63" s="4" t="n"/>
    </row>
  </sheetData>
  <mergeCells count="2">
    <mergeCell ref="A1:I1"/>
    <mergeCell ref="A2:I2"/>
  </mergeCells>
  <dataValidations count="2">
    <dataValidation sqref="G4:G63" showDropDown="0" showInputMessage="0" showErrorMessage="1" allowBlank="1" errorTitle="Choose a listed value" error="Use the dropdown choices." type="list">
      <formula1>"Not reported,Not applicable,Entered,Needs review,Verified"</formula1>
    </dataValidation>
    <dataValidation sqref="B4:E63" showDropDown="0" showInputMessage="0" showErrorMessage="1" allowBlank="1" error="Enter a number between 0 and 100; leave missing values blank." type="decimal" operator="between">
      <formula1>0</formula1>
      <formula2>100</formula2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Contractor resources</t>
        </is>
      </c>
    </row>
    <row r="2" ht="48" customHeight="1">
      <c r="A2" s="2" t="inlineStr">
        <is>
          <t>Whole-number counts. Negative variance means actual resources below plan.</t>
        </is>
      </c>
    </row>
    <row r="3" ht="32" customHeight="1">
      <c r="A3" s="3" t="inlineStr">
        <is>
          <t>Resource</t>
        </is>
      </c>
      <c r="B3" s="3" t="inlineStr">
        <is>
          <t>Planned</t>
        </is>
      </c>
      <c r="C3" s="3" t="inlineStr">
        <is>
          <t>Actual</t>
        </is>
      </c>
      <c r="D3" s="3" t="inlineStr">
        <is>
          <t>Calculated actual-plan</t>
        </is>
      </c>
      <c r="E3" s="3" t="inlineStr">
        <is>
          <t>Printed variance</t>
        </is>
      </c>
      <c r="F3" s="3" t="inlineStr">
        <is>
          <t>Unit</t>
        </is>
      </c>
      <c r="G3" s="3" t="inlineStr">
        <is>
          <t>Entry status</t>
        </is>
      </c>
      <c r="H3" s="3" t="inlineStr">
        <is>
          <t>Source reference</t>
        </is>
      </c>
      <c r="I3" s="3" t="inlineStr">
        <is>
          <t>Notes</t>
        </is>
      </c>
    </row>
    <row r="4" ht="46" customHeight="1">
      <c r="A4" s="4" t="inlineStr">
        <is>
          <t>Machinery</t>
        </is>
      </c>
      <c r="B4" s="4" t="n">
        <v>126</v>
      </c>
      <c r="C4" s="4" t="n">
        <v>110</v>
      </c>
      <c r="D4" s="12">
        <f>IF(COUNT(B4:C4)=2,C4-B4,"")</f>
        <v/>
      </c>
      <c r="E4" s="4" t="n">
        <v>-16</v>
      </c>
      <c r="F4" s="4" t="inlineStr">
        <is>
          <t>units</t>
        </is>
      </c>
      <c r="G4" s="4" t="inlineStr">
        <is>
          <t>Needs review</t>
        </is>
      </c>
      <c r="H4" s="4" t="inlineStr">
        <is>
          <t>Mughsayl HTML demo — DUMMY DATA, not an approved report</t>
        </is>
      </c>
      <c r="I4" s="4" t="n"/>
    </row>
    <row r="5" ht="46" customHeight="1">
      <c r="A5" s="4" t="inlineStr">
        <is>
          <t>Manpower</t>
        </is>
      </c>
      <c r="B5" s="4" t="n">
        <v>310</v>
      </c>
      <c r="C5" s="4" t="n">
        <v>290</v>
      </c>
      <c r="D5" s="12">
        <f>IF(COUNT(B5:C5)=2,C5-B5,"")</f>
        <v/>
      </c>
      <c r="E5" s="4" t="n">
        <v>-20</v>
      </c>
      <c r="F5" s="4" t="inlineStr">
        <is>
          <t>persons</t>
        </is>
      </c>
      <c r="G5" s="4" t="inlineStr">
        <is>
          <t>Needs review</t>
        </is>
      </c>
      <c r="H5" s="4" t="inlineStr">
        <is>
          <t>Mughsayl HTML demo — DUMMY DATA, not an approved report</t>
        </is>
      </c>
      <c r="I5" s="4" t="n"/>
    </row>
  </sheetData>
  <mergeCells count="2">
    <mergeCell ref="A1:I1"/>
    <mergeCell ref="A2:I2"/>
  </mergeCells>
  <dataValidations count="2">
    <dataValidation sqref="B4:C5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G4:G5" showDropDown="0" showInputMessage="0" showErrorMessage="1" allowBlank="1" errorTitle="Choose a listed value" error="Use the dropdown choices." type="list">
      <formula1>"Not reported,Not applicable,Entered,Needs review,Verified"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Scope quantities and pavement layers</t>
        </is>
      </c>
    </row>
    <row r="2" ht="48" customHeight="1">
      <c r="A2" s="2" t="inlineStr">
        <is>
          <t>Optional sections: type Scope or Layer. Layer thickness is separate from scope quantity. Blank means not reported.</t>
        </is>
      </c>
    </row>
    <row r="3" ht="32" customHeight="1">
      <c r="A3" s="3" t="inlineStr">
        <is>
          <t>Type</t>
        </is>
      </c>
      <c r="B3" s="3" t="inlineStr">
        <is>
          <t>Stable ID / layer code</t>
        </is>
      </c>
      <c r="C3" s="3" t="inlineStr">
        <is>
          <t>Description</t>
        </is>
      </c>
      <c r="D3" s="3" t="inlineStr">
        <is>
          <t>Quantity</t>
        </is>
      </c>
      <c r="E3" s="3" t="inlineStr">
        <is>
          <t>Unit</t>
        </is>
      </c>
      <c r="F3" s="3" t="inlineStr">
        <is>
          <t>Thickness mm</t>
        </is>
      </c>
      <c r="G3" s="3" t="inlineStr">
        <is>
          <t>Qualifier / notes</t>
        </is>
      </c>
      <c r="H3" s="3" t="inlineStr">
        <is>
          <t>Entry status</t>
        </is>
      </c>
      <c r="I3" s="3" t="inlineStr">
        <is>
          <t>Source reference</t>
        </is>
      </c>
    </row>
    <row r="4" ht="46" customHeight="1">
      <c r="A4" s="4" t="inlineStr">
        <is>
          <t>Scope</t>
        </is>
      </c>
      <c r="B4" s="4" t="inlineStr">
        <is>
          <t>scope_01</t>
        </is>
      </c>
      <c r="C4" s="4" t="inlineStr">
        <is>
          <t>Asphalt road length</t>
        </is>
      </c>
      <c r="D4" s="13" t="n">
        <v>28.09</v>
      </c>
      <c r="E4" s="4" t="inlineStr">
        <is>
          <t>km</t>
        </is>
      </c>
      <c r="F4" s="4" t="n"/>
      <c r="G4" s="4" t="n"/>
      <c r="H4" s="4" t="inlineStr">
        <is>
          <t>Needs review</t>
        </is>
      </c>
      <c r="I4" s="4" t="inlineStr">
        <is>
          <t>Mughsayl HTML demo — DUMMY DATA, not an approved report</t>
        </is>
      </c>
    </row>
    <row r="5" ht="46" customHeight="1">
      <c r="A5" s="4" t="inlineStr">
        <is>
          <t>Scope</t>
        </is>
      </c>
      <c r="B5" s="4" t="inlineStr">
        <is>
          <t>scope_02</t>
        </is>
      </c>
      <c r="C5" s="4" t="inlineStr">
        <is>
          <t>Salalah By-pass</t>
        </is>
      </c>
      <c r="D5" s="13" t="n">
        <v>5.521</v>
      </c>
      <c r="E5" s="4" t="inlineStr">
        <is>
          <t>km</t>
        </is>
      </c>
      <c r="F5" s="4" t="n"/>
      <c r="G5" s="4" t="n"/>
      <c r="H5" s="4" t="inlineStr">
        <is>
          <t>Needs review</t>
        </is>
      </c>
      <c r="I5" s="4" t="inlineStr">
        <is>
          <t>Mughsayl HTML demo — DUMMY DATA, not an approved report</t>
        </is>
      </c>
    </row>
    <row r="6" ht="46" customHeight="1">
      <c r="A6" s="4" t="inlineStr">
        <is>
          <t>Scope</t>
        </is>
      </c>
      <c r="B6" s="4" t="inlineStr">
        <is>
          <t>scope_03</t>
        </is>
      </c>
      <c r="C6" s="4" t="inlineStr">
        <is>
          <t>Under-passes</t>
        </is>
      </c>
      <c r="D6" s="10" t="n">
        <v>8</v>
      </c>
      <c r="E6" s="4" t="inlineStr">
        <is>
          <t>no.</t>
        </is>
      </c>
      <c r="F6" s="4" t="n"/>
      <c r="G6" s="4" t="n"/>
      <c r="H6" s="4" t="inlineStr">
        <is>
          <t>Needs review</t>
        </is>
      </c>
      <c r="I6" s="4" t="inlineStr">
        <is>
          <t>Mughsayl HTML demo — DUMMY DATA, not an approved report</t>
        </is>
      </c>
    </row>
    <row r="7" ht="46" customHeight="1">
      <c r="A7" s="4" t="inlineStr">
        <is>
          <t>Scope</t>
        </is>
      </c>
      <c r="B7" s="4" t="inlineStr">
        <is>
          <t>scope_04</t>
        </is>
      </c>
      <c r="C7" s="4" t="inlineStr">
        <is>
          <t>Flyover</t>
        </is>
      </c>
      <c r="D7" s="10" t="n">
        <v>1</v>
      </c>
      <c r="E7" s="4" t="inlineStr">
        <is>
          <t>no.</t>
        </is>
      </c>
      <c r="F7" s="4" t="n"/>
      <c r="G7" s="4" t="n"/>
      <c r="H7" s="4" t="inlineStr">
        <is>
          <t>Needs review</t>
        </is>
      </c>
      <c r="I7" s="4" t="inlineStr">
        <is>
          <t>Mughsayl HTML demo — DUMMY DATA, not an approved report</t>
        </is>
      </c>
    </row>
    <row r="8" ht="46" customHeight="1">
      <c r="A8" s="4" t="inlineStr">
        <is>
          <t>Scope</t>
        </is>
      </c>
      <c r="B8" s="4" t="inlineStr">
        <is>
          <t>scope_05</t>
        </is>
      </c>
      <c r="C8" s="4" t="inlineStr">
        <is>
          <t>Box culverts</t>
        </is>
      </c>
      <c r="D8" s="10" t="n">
        <v>82</v>
      </c>
      <c r="E8" s="4" t="inlineStr">
        <is>
          <t>no.</t>
        </is>
      </c>
      <c r="F8" s="4" t="n"/>
      <c r="G8" s="4" t="n"/>
      <c r="H8" s="4" t="inlineStr">
        <is>
          <t>Needs review</t>
        </is>
      </c>
      <c r="I8" s="4" t="inlineStr">
        <is>
          <t>Mughsayl HTML demo — DUMMY DATA, not an approved report</t>
        </is>
      </c>
    </row>
    <row r="9" ht="46" customHeight="1">
      <c r="A9" s="4" t="inlineStr">
        <is>
          <t>Layer</t>
        </is>
      </c>
      <c r="B9" s="4" t="inlineStr">
        <is>
          <t>BWC</t>
        </is>
      </c>
      <c r="C9" s="4" t="inlineStr">
        <is>
          <t>Bituminous Wearing Course</t>
        </is>
      </c>
      <c r="D9" s="4" t="n"/>
      <c r="E9" s="4" t="n"/>
      <c r="F9" s="4" t="n">
        <v>50</v>
      </c>
      <c r="G9" s="4" t="n"/>
      <c r="H9" s="4" t="inlineStr">
        <is>
          <t>Needs review</t>
        </is>
      </c>
      <c r="I9" s="4" t="inlineStr">
        <is>
          <t>Mughsayl HTML demo — DUMMY DATA, not an approved report</t>
        </is>
      </c>
    </row>
    <row r="10" ht="46" customHeight="1">
      <c r="A10" s="4" t="inlineStr">
        <is>
          <t>Layer</t>
        </is>
      </c>
      <c r="B10" s="4" t="inlineStr">
        <is>
          <t>BBC</t>
        </is>
      </c>
      <c r="C10" s="4" t="inlineStr">
        <is>
          <t>Bituminous Base Course</t>
        </is>
      </c>
      <c r="D10" s="4" t="n"/>
      <c r="E10" s="4" t="n"/>
      <c r="F10" s="4" t="n">
        <v>60</v>
      </c>
      <c r="G10" s="4" t="n"/>
      <c r="H10" s="4" t="inlineStr">
        <is>
          <t>Needs review</t>
        </is>
      </c>
      <c r="I10" s="4" t="inlineStr">
        <is>
          <t>Mughsayl HTML demo — DUMMY DATA, not an approved report</t>
        </is>
      </c>
    </row>
    <row r="11" ht="46" customHeight="1">
      <c r="A11" s="4" t="inlineStr">
        <is>
          <t>Layer</t>
        </is>
      </c>
      <c r="B11" s="4" t="inlineStr">
        <is>
          <t>ABC</t>
        </is>
      </c>
      <c r="C11" s="4" t="inlineStr">
        <is>
          <t>Aggregate Base Course</t>
        </is>
      </c>
      <c r="D11" s="4" t="n"/>
      <c r="E11" s="4" t="n"/>
      <c r="F11" s="4" t="n">
        <v>300</v>
      </c>
      <c r="G11" s="4" t="n"/>
      <c r="H11" s="4" t="inlineStr">
        <is>
          <t>Needs review</t>
        </is>
      </c>
      <c r="I11" s="4" t="inlineStr">
        <is>
          <t>Mughsayl HTML demo — DUMMY DATA, not an approved report</t>
        </is>
      </c>
    </row>
    <row r="12" ht="46" customHeight="1">
      <c r="A12" s="4" t="inlineStr">
        <is>
          <t>Layer</t>
        </is>
      </c>
      <c r="B12" s="4" t="inlineStr">
        <is>
          <t>GSB</t>
        </is>
      </c>
      <c r="C12" s="4" t="inlineStr">
        <is>
          <t>Granular Sub-Base</t>
        </is>
      </c>
      <c r="D12" s="4" t="n"/>
      <c r="E12" s="4" t="n"/>
      <c r="F12" s="4" t="n">
        <v>200</v>
      </c>
      <c r="G12" s="4" t="n"/>
      <c r="H12" s="4" t="inlineStr">
        <is>
          <t>Needs review</t>
        </is>
      </c>
      <c r="I12" s="4" t="inlineStr">
        <is>
          <t>Mughsayl HTML demo — DUMMY DATA, not an approved report</t>
        </is>
      </c>
    </row>
    <row r="13" ht="46" customHeight="1">
      <c r="A13" s="4" t="n"/>
      <c r="B13" s="4" t="inlineStr">
        <is>
          <t>item_10</t>
        </is>
      </c>
      <c r="C13" s="4" t="n"/>
      <c r="D13" s="4" t="n"/>
      <c r="E13" s="4" t="n"/>
      <c r="F13" s="4" t="n"/>
      <c r="G13" s="4" t="n"/>
      <c r="H13" s="4" t="inlineStr">
        <is>
          <t>Not reported</t>
        </is>
      </c>
      <c r="I13" s="4" t="n"/>
    </row>
    <row r="14" ht="46" customHeight="1">
      <c r="A14" s="4" t="n"/>
      <c r="B14" s="4" t="inlineStr">
        <is>
          <t>item_11</t>
        </is>
      </c>
      <c r="C14" s="4" t="n"/>
      <c r="D14" s="4" t="n"/>
      <c r="E14" s="4" t="n"/>
      <c r="F14" s="4" t="n"/>
      <c r="G14" s="4" t="n"/>
      <c r="H14" s="4" t="inlineStr">
        <is>
          <t>Not reported</t>
        </is>
      </c>
      <c r="I14" s="4" t="n"/>
    </row>
    <row r="15" ht="46" customHeight="1">
      <c r="A15" s="4" t="n"/>
      <c r="B15" s="4" t="inlineStr">
        <is>
          <t>item_12</t>
        </is>
      </c>
      <c r="C15" s="4" t="n"/>
      <c r="D15" s="4" t="n"/>
      <c r="E15" s="4" t="n"/>
      <c r="F15" s="4" t="n"/>
      <c r="G15" s="4" t="n"/>
      <c r="H15" s="4" t="inlineStr">
        <is>
          <t>Not reported</t>
        </is>
      </c>
      <c r="I15" s="4" t="n"/>
    </row>
    <row r="16" ht="46" customHeight="1">
      <c r="A16" s="4" t="n"/>
      <c r="B16" s="4" t="inlineStr">
        <is>
          <t>item_13</t>
        </is>
      </c>
      <c r="C16" s="4" t="n"/>
      <c r="D16" s="4" t="n"/>
      <c r="E16" s="4" t="n"/>
      <c r="F16" s="4" t="n"/>
      <c r="G16" s="4" t="n"/>
      <c r="H16" s="4" t="inlineStr">
        <is>
          <t>Not reported</t>
        </is>
      </c>
      <c r="I16" s="4" t="n"/>
    </row>
    <row r="17" ht="46" customHeight="1">
      <c r="A17" s="4" t="n"/>
      <c r="B17" s="4" t="inlineStr">
        <is>
          <t>item_14</t>
        </is>
      </c>
      <c r="C17" s="4" t="n"/>
      <c r="D17" s="4" t="n"/>
      <c r="E17" s="4" t="n"/>
      <c r="F17" s="4" t="n"/>
      <c r="G17" s="4" t="n"/>
      <c r="H17" s="4" t="inlineStr">
        <is>
          <t>Not reported</t>
        </is>
      </c>
      <c r="I17" s="4" t="n"/>
    </row>
    <row r="18" ht="46" customHeight="1">
      <c r="A18" s="4" t="n"/>
      <c r="B18" s="4" t="inlineStr">
        <is>
          <t>item_15</t>
        </is>
      </c>
      <c r="C18" s="4" t="n"/>
      <c r="D18" s="4" t="n"/>
      <c r="E18" s="4" t="n"/>
      <c r="F18" s="4" t="n"/>
      <c r="G18" s="4" t="n"/>
      <c r="H18" s="4" t="inlineStr">
        <is>
          <t>Not reported</t>
        </is>
      </c>
      <c r="I18" s="4" t="n"/>
    </row>
  </sheetData>
  <mergeCells count="2">
    <mergeCell ref="A1:I1"/>
    <mergeCell ref="A2:I2"/>
  </mergeCells>
  <dataValidations count="4">
    <dataValidation sqref="A4:A18" showDropDown="0" showInputMessage="0" showErrorMessage="1" allowBlank="1" errorTitle="Choose a listed value" error="Use the dropdown choices." type="list">
      <formula1>"Scope,Layer"</formula1>
    </dataValidation>
    <dataValidation sqref="H4:H18" showDropDown="0" showInputMessage="0" showErrorMessage="1" allowBlank="1" errorTitle="Choose a listed value" error="Use the dropdown choices." type="list">
      <formula1>"Not reported,Not applicable,Entered,Needs review,Verified"</formula1>
    </dataValidation>
    <dataValidation sqref="D4:D18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  <dataValidation sqref="F4:F18" showDropDown="0" showInputMessage="0" showErrorMessage="1" allowBlank="1" error="Enter a number between 0 and 1000000000000; leave missing values blank." type="decimal" operator="between">
      <formula1>0</formula1>
      <formula2>1000000000000</formula2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7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Narrative progress and independent trade status</t>
        </is>
      </c>
    </row>
    <row r="2" ht="48" customHeight="1">
      <c r="A2" s="2" t="inlineStr">
        <is>
          <t>Preserve the source wording. For example, “in progress (76/76)” needs clarification, not automatic conversion to Complete.</t>
        </is>
      </c>
    </row>
    <row r="3" ht="32" customHeight="1">
      <c r="A3" s="3" t="inlineStr">
        <is>
          <t>Update ID</t>
        </is>
      </c>
      <c r="B3" s="3" t="inlineStr">
        <is>
          <t>Description / source wording</t>
        </is>
      </c>
      <c r="C3" s="3" t="inlineStr">
        <is>
          <t>Explicit trade status</t>
        </is>
      </c>
      <c r="D3" s="3" t="inlineStr">
        <is>
          <t>Entry status</t>
        </is>
      </c>
      <c r="E3" s="3" t="inlineStr">
        <is>
          <t>Source reference</t>
        </is>
      </c>
      <c r="F3" s="3" t="inlineStr">
        <is>
          <t>Clarification / internal note</t>
        </is>
      </c>
    </row>
    <row r="4" ht="46" customHeight="1">
      <c r="A4" s="4" t="inlineStr">
        <is>
          <t>update_01</t>
        </is>
      </c>
      <c r="B4" s="4" t="inlineStr">
        <is>
          <t>Protection — cut slope</t>
        </is>
      </c>
      <c r="C4" s="4" t="inlineStr">
        <is>
          <t>Active</t>
        </is>
      </c>
      <c r="D4" s="4" t="inlineStr">
        <is>
          <t>Needs review</t>
        </is>
      </c>
      <c r="E4" s="4" t="inlineStr">
        <is>
          <t>Mughsayl HTML demo — DUMMY DATA, not an approved report</t>
        </is>
      </c>
      <c r="F4" s="4" t="inlineStr">
        <is>
          <t>Dummy trade status</t>
        </is>
      </c>
    </row>
    <row r="5" ht="46" customHeight="1">
      <c r="A5" s="4" t="inlineStr">
        <is>
          <t>update_02</t>
        </is>
      </c>
      <c r="B5" s="4" t="inlineStr">
        <is>
          <t>Utilities</t>
        </is>
      </c>
      <c r="C5" s="4" t="inlineStr">
        <is>
          <t>Active</t>
        </is>
      </c>
      <c r="D5" s="4" t="inlineStr">
        <is>
          <t>Needs review</t>
        </is>
      </c>
      <c r="E5" s="4" t="inlineStr">
        <is>
          <t>Mughsayl HTML demo — DUMMY DATA, not an approved report</t>
        </is>
      </c>
      <c r="F5" s="4" t="inlineStr">
        <is>
          <t>Dummy trade status</t>
        </is>
      </c>
    </row>
    <row r="6" ht="46" customHeight="1">
      <c r="A6" s="4" t="inlineStr">
        <is>
          <t>update_03</t>
        </is>
      </c>
      <c r="B6" s="4" t="inlineStr">
        <is>
          <t>Land acquisition</t>
        </is>
      </c>
      <c r="C6" s="4" t="inlineStr">
        <is>
          <t>Complete</t>
        </is>
      </c>
      <c r="D6" s="4" t="inlineStr">
        <is>
          <t>Needs review</t>
        </is>
      </c>
      <c r="E6" s="4" t="inlineStr">
        <is>
          <t>Mughsayl HTML demo — DUMMY DATA, not an approved report</t>
        </is>
      </c>
      <c r="F6" s="4" t="inlineStr">
        <is>
          <t>Dummy trade status</t>
        </is>
      </c>
    </row>
    <row r="7" ht="46" customHeight="1">
      <c r="A7" s="4" t="inlineStr">
        <is>
          <t>update_04</t>
        </is>
      </c>
      <c r="B7" s="4" t="inlineStr">
        <is>
          <t>Culverts / retaining walls</t>
        </is>
      </c>
      <c r="C7" s="4" t="inlineStr">
        <is>
          <t>Complete</t>
        </is>
      </c>
      <c r="D7" s="4" t="inlineStr">
        <is>
          <t>Needs review</t>
        </is>
      </c>
      <c r="E7" s="4" t="inlineStr">
        <is>
          <t>Mughsayl HTML demo — DUMMY DATA, not an approved report</t>
        </is>
      </c>
      <c r="F7" s="4" t="inlineStr">
        <is>
          <t>Dummy trade status</t>
        </is>
      </c>
    </row>
    <row r="8" ht="46" customHeight="1">
      <c r="A8" s="4" t="inlineStr">
        <is>
          <t>update_05</t>
        </is>
      </c>
      <c r="B8" s="4" t="inlineStr">
        <is>
          <t>Bridges / tunnels</t>
        </is>
      </c>
      <c r="C8" s="4" t="inlineStr">
        <is>
          <t>Active</t>
        </is>
      </c>
      <c r="D8" s="4" t="inlineStr">
        <is>
          <t>Needs review</t>
        </is>
      </c>
      <c r="E8" s="4" t="inlineStr">
        <is>
          <t>Mughsayl HTML demo — DUMMY DATA, not an approved report</t>
        </is>
      </c>
      <c r="F8" s="4" t="inlineStr">
        <is>
          <t>Dummy trade status</t>
        </is>
      </c>
    </row>
    <row r="9" ht="46" customHeight="1">
      <c r="A9" s="4" t="inlineStr">
        <is>
          <t>update_06</t>
        </is>
      </c>
      <c r="B9" s="4" t="inlineStr">
        <is>
          <t>Pedestrian over/underpass</t>
        </is>
      </c>
      <c r="C9" s="4" t="inlineStr">
        <is>
          <t>Active</t>
        </is>
      </c>
      <c r="D9" s="4" t="inlineStr">
        <is>
          <t>Needs review</t>
        </is>
      </c>
      <c r="E9" s="4" t="inlineStr">
        <is>
          <t>Mughsayl HTML demo — DUMMY DATA, not an approved report</t>
        </is>
      </c>
      <c r="F9" s="4" t="inlineStr">
        <is>
          <t>Dummy trade status</t>
        </is>
      </c>
    </row>
    <row r="10" ht="46" customHeight="1">
      <c r="A10" s="4" t="inlineStr">
        <is>
          <t>update_07</t>
        </is>
      </c>
      <c r="B10" s="4" t="inlineStr">
        <is>
          <t>Earthworks</t>
        </is>
      </c>
      <c r="C10" s="4" t="inlineStr">
        <is>
          <t>Complete</t>
        </is>
      </c>
      <c r="D10" s="4" t="inlineStr">
        <is>
          <t>Needs review</t>
        </is>
      </c>
      <c r="E10" s="4" t="inlineStr">
        <is>
          <t>Mughsayl HTML demo — DUMMY DATA, not an approved report</t>
        </is>
      </c>
      <c r="F10" s="4" t="inlineStr">
        <is>
          <t>Dummy trade status</t>
        </is>
      </c>
    </row>
    <row r="11" ht="46" customHeight="1">
      <c r="A11" s="4" t="inlineStr">
        <is>
          <t>update_08</t>
        </is>
      </c>
      <c r="B11" s="4" t="inlineStr">
        <is>
          <t>Subbase layer</t>
        </is>
      </c>
      <c r="C11" s="4" t="inlineStr">
        <is>
          <t>Behind</t>
        </is>
      </c>
      <c r="D11" s="4" t="inlineStr">
        <is>
          <t>Needs review</t>
        </is>
      </c>
      <c r="E11" s="4" t="inlineStr">
        <is>
          <t>Mughsayl HTML demo — DUMMY DATA, not an approved report</t>
        </is>
      </c>
      <c r="F11" s="4" t="inlineStr">
        <is>
          <t>Dummy trade status</t>
        </is>
      </c>
    </row>
    <row r="12" ht="46" customHeight="1">
      <c r="A12" s="4" t="inlineStr">
        <is>
          <t>update_09</t>
        </is>
      </c>
      <c r="B12" s="4" t="inlineStr">
        <is>
          <t>Aggregate base course</t>
        </is>
      </c>
      <c r="C12" s="4" t="inlineStr">
        <is>
          <t>Behind</t>
        </is>
      </c>
      <c r="D12" s="4" t="inlineStr">
        <is>
          <t>Needs review</t>
        </is>
      </c>
      <c r="E12" s="4" t="inlineStr">
        <is>
          <t>Mughsayl HTML demo — DUMMY DATA, not an approved report</t>
        </is>
      </c>
      <c r="F12" s="4" t="inlineStr">
        <is>
          <t>Dummy trade status</t>
        </is>
      </c>
    </row>
    <row r="13" ht="46" customHeight="1">
      <c r="A13" s="4" t="inlineStr">
        <is>
          <t>update_10</t>
        </is>
      </c>
      <c r="B13" s="4" t="inlineStr">
        <is>
          <t>Bit. base course</t>
        </is>
      </c>
      <c r="C13" s="4" t="inlineStr">
        <is>
          <t>Behind</t>
        </is>
      </c>
      <c r="D13" s="4" t="inlineStr">
        <is>
          <t>Needs review</t>
        </is>
      </c>
      <c r="E13" s="4" t="inlineStr">
        <is>
          <t>Mughsayl HTML demo — DUMMY DATA, not an approved report</t>
        </is>
      </c>
      <c r="F13" s="4" t="inlineStr">
        <is>
          <t>Dummy trade status</t>
        </is>
      </c>
    </row>
    <row r="14" ht="46" customHeight="1">
      <c r="A14" s="4" t="inlineStr">
        <is>
          <t>update_11</t>
        </is>
      </c>
      <c r="B14" s="4" t="inlineStr">
        <is>
          <t>Bit. wearing course</t>
        </is>
      </c>
      <c r="C14" s="4" t="inlineStr">
        <is>
          <t>Not started</t>
        </is>
      </c>
      <c r="D14" s="4" t="inlineStr">
        <is>
          <t>Needs review</t>
        </is>
      </c>
      <c r="E14" s="4" t="inlineStr">
        <is>
          <t>Mughsayl HTML demo — DUMMY DATA, not an approved report</t>
        </is>
      </c>
      <c r="F14" s="4" t="inlineStr">
        <is>
          <t>Dummy trade status</t>
        </is>
      </c>
    </row>
    <row r="15" ht="46" customHeight="1">
      <c r="A15" s="4" t="inlineStr">
        <is>
          <t>update_12</t>
        </is>
      </c>
      <c r="B15" s="4" t="inlineStr">
        <is>
          <t>Protection — embankment</t>
        </is>
      </c>
      <c r="C15" s="4" t="inlineStr">
        <is>
          <t>Active</t>
        </is>
      </c>
      <c r="D15" s="4" t="inlineStr">
        <is>
          <t>Needs review</t>
        </is>
      </c>
      <c r="E15" s="4" t="inlineStr">
        <is>
          <t>Mughsayl HTML demo — DUMMY DATA, not an approved report</t>
        </is>
      </c>
      <c r="F15" s="4" t="inlineStr">
        <is>
          <t>Dummy trade status</t>
        </is>
      </c>
    </row>
    <row r="16" ht="46" customHeight="1">
      <c r="A16" s="4" t="inlineStr">
        <is>
          <t>update_13</t>
        </is>
      </c>
      <c r="B16" s="4" t="n"/>
      <c r="C16" s="4" t="inlineStr">
        <is>
          <t>Unknown</t>
        </is>
      </c>
      <c r="D16" s="4" t="inlineStr">
        <is>
          <t>Not reported</t>
        </is>
      </c>
      <c r="E16" s="4" t="n"/>
      <c r="F16" s="4" t="n"/>
    </row>
    <row r="17" ht="46" customHeight="1">
      <c r="A17" s="4" t="inlineStr">
        <is>
          <t>update_14</t>
        </is>
      </c>
      <c r="B17" s="4" t="n"/>
      <c r="C17" s="4" t="inlineStr">
        <is>
          <t>Unknown</t>
        </is>
      </c>
      <c r="D17" s="4" t="inlineStr">
        <is>
          <t>Not reported</t>
        </is>
      </c>
      <c r="E17" s="4" t="n"/>
      <c r="F17" s="4" t="n"/>
    </row>
    <row r="18" ht="46" customHeight="1">
      <c r="A18" s="4" t="inlineStr">
        <is>
          <t>update_15</t>
        </is>
      </c>
      <c r="B18" s="4" t="n"/>
      <c r="C18" s="4" t="inlineStr">
        <is>
          <t>Unknown</t>
        </is>
      </c>
      <c r="D18" s="4" t="inlineStr">
        <is>
          <t>Not reported</t>
        </is>
      </c>
      <c r="E18" s="4" t="n"/>
      <c r="F18" s="4" t="n"/>
    </row>
    <row r="19" ht="46" customHeight="1">
      <c r="A19" s="4" t="inlineStr">
        <is>
          <t>update_16</t>
        </is>
      </c>
      <c r="B19" s="4" t="n"/>
      <c r="C19" s="4" t="inlineStr">
        <is>
          <t>Unknown</t>
        </is>
      </c>
      <c r="D19" s="4" t="inlineStr">
        <is>
          <t>Not reported</t>
        </is>
      </c>
      <c r="E19" s="4" t="n"/>
      <c r="F19" s="4" t="n"/>
    </row>
    <row r="20" ht="46" customHeight="1">
      <c r="A20" s="4" t="inlineStr">
        <is>
          <t>update_17</t>
        </is>
      </c>
      <c r="B20" s="4" t="n"/>
      <c r="C20" s="4" t="inlineStr">
        <is>
          <t>Unknown</t>
        </is>
      </c>
      <c r="D20" s="4" t="inlineStr">
        <is>
          <t>Not reported</t>
        </is>
      </c>
      <c r="E20" s="4" t="n"/>
      <c r="F20" s="4" t="n"/>
    </row>
    <row r="21" ht="46" customHeight="1">
      <c r="A21" s="4" t="inlineStr">
        <is>
          <t>update_18</t>
        </is>
      </c>
      <c r="B21" s="4" t="n"/>
      <c r="C21" s="4" t="inlineStr">
        <is>
          <t>Unknown</t>
        </is>
      </c>
      <c r="D21" s="4" t="inlineStr">
        <is>
          <t>Not reported</t>
        </is>
      </c>
      <c r="E21" s="4" t="n"/>
      <c r="F21" s="4" t="n"/>
    </row>
    <row r="22" ht="46" customHeight="1">
      <c r="A22" s="4" t="inlineStr">
        <is>
          <t>update_19</t>
        </is>
      </c>
      <c r="B22" s="4" t="n"/>
      <c r="C22" s="4" t="inlineStr">
        <is>
          <t>Unknown</t>
        </is>
      </c>
      <c r="D22" s="4" t="inlineStr">
        <is>
          <t>Not reported</t>
        </is>
      </c>
      <c r="E22" s="4" t="n"/>
      <c r="F22" s="4" t="n"/>
    </row>
    <row r="23" ht="46" customHeight="1">
      <c r="A23" s="4" t="inlineStr">
        <is>
          <t>update_20</t>
        </is>
      </c>
      <c r="B23" s="4" t="n"/>
      <c r="C23" s="4" t="inlineStr">
        <is>
          <t>Unknown</t>
        </is>
      </c>
      <c r="D23" s="4" t="inlineStr">
        <is>
          <t>Not reported</t>
        </is>
      </c>
      <c r="E23" s="4" t="n"/>
      <c r="F23" s="4" t="n"/>
    </row>
  </sheetData>
  <mergeCells count="2">
    <mergeCell ref="A2:F2"/>
    <mergeCell ref="A1:F1"/>
  </mergeCells>
  <dataValidations count="2">
    <dataValidation sqref="C4:C23" showDropDown="0" showInputMessage="0" showErrorMessage="1" allowBlank="1" errorTitle="Choose a listed value" error="Use the dropdown choices." type="list">
      <formula1>"Complete,Active,Behind,Not started,Unknown"</formula1>
    </dataValidation>
    <dataValidation sqref="D4:D23" showDropDown="0" showInputMessage="0" showErrorMessage="1" allowBlank="1" errorTitle="Choose a listed value" error="Use the dropdown choices." type="list">
      <formula1>"Not reported,Not applicable,Entered,Needs review,Verified"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Project parties and contacts</t>
        </is>
      </c>
    </row>
    <row r="2" ht="48" customHeight="1">
      <c r="A2" s="2" t="inlineStr">
        <is>
          <t>Enter telephone numbers as TEXT. Unclear small-print names and numbers were not guessed in the example.</t>
        </is>
      </c>
    </row>
    <row r="3" ht="32" customHeight="1">
      <c r="A3" s="3" t="inlineStr">
        <is>
          <t>Party role</t>
        </is>
      </c>
      <c r="B3" s="3" t="inlineStr">
        <is>
          <t>Organisation</t>
        </is>
      </c>
      <c r="C3" s="3" t="inlineStr">
        <is>
          <t>Department</t>
        </is>
      </c>
      <c r="D3" s="3" t="inlineStr">
        <is>
          <t>Representative</t>
        </is>
      </c>
      <c r="E3" s="3" t="inlineStr">
        <is>
          <t>Position / title</t>
        </is>
      </c>
      <c r="F3" s="3" t="inlineStr">
        <is>
          <t>Telephone</t>
        </is>
      </c>
      <c r="G3" s="3" t="inlineStr">
        <is>
          <t>Email</t>
        </is>
      </c>
      <c r="H3" s="3" t="inlineStr">
        <is>
          <t>Entry status</t>
        </is>
      </c>
      <c r="I3" s="3" t="inlineStr">
        <is>
          <t>Source reference</t>
        </is>
      </c>
    </row>
    <row r="4" ht="46" customHeight="1">
      <c r="A4" s="4" t="inlineStr">
        <is>
          <t>Client</t>
        </is>
      </c>
      <c r="B4" s="4" t="inlineStr">
        <is>
          <t>Example Transport Authority</t>
        </is>
      </c>
      <c r="C4" s="4" t="inlineStr">
        <is>
          <t>Roads &amp; Land Transport</t>
        </is>
      </c>
      <c r="D4" s="4" t="n"/>
      <c r="E4" s="4" t="n"/>
      <c r="F4" s="6" t="n"/>
      <c r="G4" s="4" t="n"/>
      <c r="H4" s="4" t="inlineStr">
        <is>
          <t>Needs review</t>
        </is>
      </c>
      <c r="I4" s="4" t="inlineStr">
        <is>
          <t>Mughsayl HTML demo — DUMMY DATA, not an approved report</t>
        </is>
      </c>
    </row>
    <row r="5" ht="46" customHeight="1">
      <c r="A5" s="4" t="inlineStr">
        <is>
          <t>Consultant</t>
        </is>
      </c>
      <c r="B5" s="4" t="inlineStr">
        <is>
          <t>VIA International — Engineering Consultancy</t>
        </is>
      </c>
      <c r="C5" s="4" t="n"/>
      <c r="D5" s="4" t="inlineStr">
        <is>
          <t>Demo Resident Engineer</t>
        </is>
      </c>
      <c r="E5" s="4" t="inlineStr">
        <is>
          <t>Resident Engineer</t>
        </is>
      </c>
      <c r="F5" s="6" t="inlineStr">
        <is>
          <t>Demo contact</t>
        </is>
      </c>
      <c r="G5" s="4" t="n"/>
      <c r="H5" s="4" t="inlineStr">
        <is>
          <t>Needs review</t>
        </is>
      </c>
      <c r="I5" s="4" t="inlineStr">
        <is>
          <t>Mughsayl HTML demo — DUMMY DATA, not an approved report</t>
        </is>
      </c>
    </row>
    <row r="6" ht="46" customHeight="1">
      <c r="A6" s="4" t="inlineStr">
        <is>
          <t>Contractor</t>
        </is>
      </c>
      <c r="B6" s="4" t="inlineStr">
        <is>
          <t>Example Road &amp; Bridge Contractor</t>
        </is>
      </c>
      <c r="C6" s="4" t="n"/>
      <c r="D6" s="4" t="inlineStr">
        <is>
          <t>Demo Project Manager</t>
        </is>
      </c>
      <c r="E6" s="4" t="inlineStr">
        <is>
          <t>Project Manager</t>
        </is>
      </c>
      <c r="F6" s="6" t="inlineStr">
        <is>
          <t>Demo contact</t>
        </is>
      </c>
      <c r="G6" s="4" t="n"/>
      <c r="H6" s="4" t="inlineStr">
        <is>
          <t>Needs review</t>
        </is>
      </c>
      <c r="I6" s="4" t="inlineStr">
        <is>
          <t>Mughsayl HTML demo — DUMMY DATA, not an approved report</t>
        </is>
      </c>
    </row>
    <row r="7" ht="46" customHeight="1">
      <c r="A7" s="4" t="inlineStr">
        <is>
          <t>Client representative</t>
        </is>
      </c>
      <c r="B7" s="4" t="n"/>
      <c r="C7" s="4" t="n"/>
      <c r="D7" s="4" t="inlineStr">
        <is>
          <t>Demo Client Representative</t>
        </is>
      </c>
      <c r="E7" s="4" t="n"/>
      <c r="F7" s="6" t="inlineStr">
        <is>
          <t>Demo contact</t>
        </is>
      </c>
      <c r="G7" s="4" t="n"/>
      <c r="H7" s="4" t="inlineStr">
        <is>
          <t>Needs review</t>
        </is>
      </c>
      <c r="I7" s="4" t="inlineStr">
        <is>
          <t>Mughsayl HTML demo — DUMMY DATA, not an approved report</t>
        </is>
      </c>
    </row>
    <row r="8" ht="46" customHeight="1">
      <c r="A8" s="4" t="inlineStr">
        <is>
          <t>Other contact</t>
        </is>
      </c>
      <c r="B8" s="4" t="n"/>
      <c r="C8" s="4" t="n"/>
      <c r="D8" s="4" t="n"/>
      <c r="E8" s="4" t="n"/>
      <c r="F8" s="6" t="n"/>
      <c r="G8" s="4" t="n"/>
      <c r="H8" s="4" t="inlineStr">
        <is>
          <t>Not reported</t>
        </is>
      </c>
      <c r="I8" s="4" t="n"/>
    </row>
  </sheetData>
  <mergeCells count="2">
    <mergeCell ref="A1:I1"/>
    <mergeCell ref="A2:I2"/>
  </mergeCells>
  <dataValidations count="1">
    <dataValidation sqref="H4:H8" showDropDown="0" showInputMessage="0" showErrorMessage="1" allowBlank="1" errorTitle="Choose a listed value" error="Use the dropdown choices." type="list">
      <formula1>"Not reported,Not applicable,Entered,Needs review,Verified"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40" customWidth="1" min="5" max="5"/>
    <col width="24" customWidth="1" min="6" max="6"/>
    <col width="24" customWidth="1" min="7" max="7"/>
    <col width="24" customWidth="1" min="8" max="8"/>
    <col width="65" customWidth="1" min="9" max="9"/>
  </cols>
  <sheetData>
    <row r="1" ht="30" customHeight="1">
      <c r="A1" s="1" t="inlineStr">
        <is>
          <t>Manual image uploads and captions</t>
        </is>
      </c>
    </row>
    <row r="2" ht="48" customHeight="1">
      <c r="A2" s="2" t="inlineStr">
        <is>
          <t>Upload files separately in the app. Match using Asset ID, not filename guesses. Images are not embedded in this workbook.</t>
        </is>
      </c>
    </row>
    <row r="3" ht="32" customHeight="1">
      <c r="A3" s="3" t="inlineStr">
        <is>
          <t>Asset ID</t>
        </is>
      </c>
      <c r="B3" s="3" t="inlineStr">
        <is>
          <t>Purpose</t>
        </is>
      </c>
      <c r="C3" s="3" t="inlineStr">
        <is>
          <t>Requirement</t>
        </is>
      </c>
      <c r="D3" s="3" t="inlineStr">
        <is>
          <t>Local filename</t>
        </is>
      </c>
      <c r="E3" s="3" t="inlineStr">
        <is>
          <t>Caption</t>
        </is>
      </c>
      <c r="F3" s="3" t="inlineStr">
        <is>
          <t>Secondary description</t>
        </is>
      </c>
      <c r="G3" s="3" t="inlineStr">
        <is>
          <t>Capture date</t>
        </is>
      </c>
      <c r="H3" s="3" t="inlineStr">
        <is>
          <t>Entry status</t>
        </is>
      </c>
      <c r="I3" s="3" t="inlineStr">
        <is>
          <t>Upload guidance</t>
        </is>
      </c>
    </row>
    <row r="4" ht="46" customHeight="1">
      <c r="A4" s="4" t="inlineStr">
        <is>
          <t>logo_main</t>
        </is>
      </c>
      <c r="B4" s="4" t="inlineStr">
        <is>
          <t>Main dashboard logo</t>
        </is>
      </c>
      <c r="C4" s="4" t="inlineStr">
        <is>
          <t>Required</t>
        </is>
      </c>
      <c r="D4" s="4" t="inlineStr">
        <is>
          <t>Dashboard/via/logo-color.png</t>
        </is>
      </c>
      <c r="E4" s="4" t="n"/>
      <c r="F4" s="4" t="n"/>
      <c r="G4" s="8" t="n"/>
      <c r="H4" s="4" t="inlineStr">
        <is>
          <t>Needs review</t>
        </is>
      </c>
      <c r="I4" s="4" t="inlineStr">
        <is>
          <t>JPG/PNG/WebP. Keep original resolution; do not upscale to imply extra detail.</t>
        </is>
      </c>
    </row>
    <row r="5" ht="46" customHeight="1">
      <c r="A5" s="4" t="inlineStr">
        <is>
          <t>layout_main</t>
        </is>
      </c>
      <c r="B5" s="4" t="inlineStr">
        <is>
          <t>Location / project layout</t>
        </is>
      </c>
      <c r="C5" s="4" t="inlineStr">
        <is>
          <t>Required</t>
        </is>
      </c>
      <c r="D5" s="4" t="inlineStr">
        <is>
          <t>Dashboard/Raysut dashboard.html</t>
        </is>
      </c>
      <c r="E5" s="4" t="inlineStr">
        <is>
          <t>Raysut reference illustration — demo only</t>
        </is>
      </c>
      <c r="F5" s="4" t="n"/>
      <c r="G5" s="8" t="n"/>
      <c r="H5" s="4" t="inlineStr">
        <is>
          <t>Needs review</t>
        </is>
      </c>
      <c r="I5" s="4" t="inlineStr">
        <is>
          <t>Embedded vector schematic, not an uploaded image. Requires the Raysut reference-layout option; not transferable to another route.</t>
        </is>
      </c>
    </row>
    <row r="6" ht="46" customHeight="1">
      <c r="A6" s="4" t="inlineStr">
        <is>
          <t>photo_1</t>
        </is>
      </c>
      <c r="B6" s="4" t="inlineStr">
        <is>
          <t>Construction photo 1</t>
        </is>
      </c>
      <c r="C6" s="4" t="inlineStr">
        <is>
          <t>Required</t>
        </is>
      </c>
      <c r="D6" s="4" t="inlineStr">
        <is>
          <t>Dashboard/Photo1.jpg</t>
        </is>
      </c>
      <c r="E6" s="4" t="inlineStr">
        <is>
          <t>Pier foundation backfill</t>
        </is>
      </c>
      <c r="F6" s="4" t="inlineStr">
        <is>
          <t>Reference photograph — demonstration only</t>
        </is>
      </c>
      <c r="G6" s="8" t="n"/>
      <c r="H6" s="4" t="inlineStr">
        <is>
          <t>Needs review</t>
        </is>
      </c>
      <c r="I6" s="4" t="inlineStr">
        <is>
          <t>JPG/PNG/WebP. Keep original resolution; do not upscale to imply extra detail.</t>
        </is>
      </c>
    </row>
    <row r="7" ht="46" customHeight="1">
      <c r="A7" s="4" t="inlineStr">
        <is>
          <t>photo_2</t>
        </is>
      </c>
      <c r="B7" s="4" t="inlineStr">
        <is>
          <t>Construction photo 2</t>
        </is>
      </c>
      <c r="C7" s="4" t="inlineStr">
        <is>
          <t>Required</t>
        </is>
      </c>
      <c r="D7" s="4" t="inlineStr">
        <is>
          <t>Dashboard/Photo2.jpg</t>
        </is>
      </c>
      <c r="E7" s="4" t="inlineStr">
        <is>
          <t>Bitumen base course layer</t>
        </is>
      </c>
      <c r="F7" s="4" t="inlineStr">
        <is>
          <t>Reference photograph — demonstration only</t>
        </is>
      </c>
      <c r="G7" s="8" t="n"/>
      <c r="H7" s="4" t="inlineStr">
        <is>
          <t>Needs review</t>
        </is>
      </c>
      <c r="I7" s="4" t="inlineStr">
        <is>
          <t>JPG/PNG/WebP. Keep original resolution; do not upscale to imply extra detail.</t>
        </is>
      </c>
    </row>
    <row r="8" ht="46" customHeight="1">
      <c r="A8" s="4" t="inlineStr">
        <is>
          <t>photo_3</t>
        </is>
      </c>
      <c r="B8" s="4" t="inlineStr">
        <is>
          <t>Construction photo 3</t>
        </is>
      </c>
      <c r="C8" s="4" t="inlineStr">
        <is>
          <t>Required</t>
        </is>
      </c>
      <c r="D8" s="4" t="inlineStr">
        <is>
          <t>Dashboard/Photo3.jpg</t>
        </is>
      </c>
      <c r="E8" s="4" t="inlineStr">
        <is>
          <t>Utilities future ducts</t>
        </is>
      </c>
      <c r="F8" s="4" t="inlineStr">
        <is>
          <t>Reference photograph — demonstration only</t>
        </is>
      </c>
      <c r="G8" s="8" t="n"/>
      <c r="H8" s="4" t="inlineStr">
        <is>
          <t>Needs review</t>
        </is>
      </c>
      <c r="I8" s="4" t="inlineStr">
        <is>
          <t>JPG/PNG/WebP. Keep original resolution; do not upscale to imply extra detail.</t>
        </is>
      </c>
    </row>
    <row r="9" ht="46" customHeight="1">
      <c r="A9" s="4" t="inlineStr">
        <is>
          <t>photo_4</t>
        </is>
      </c>
      <c r="B9" s="4" t="inlineStr">
        <is>
          <t>Construction photo 4</t>
        </is>
      </c>
      <c r="C9" s="4" t="inlineStr">
        <is>
          <t>Required</t>
        </is>
      </c>
      <c r="D9" s="4" t="inlineStr">
        <is>
          <t>Dashboard/Photo4.jpg</t>
        </is>
      </c>
      <c r="E9" s="4" t="inlineStr">
        <is>
          <t>I-girder work in progress</t>
        </is>
      </c>
      <c r="F9" s="4" t="inlineStr">
        <is>
          <t>Reference photograph — demonstration only</t>
        </is>
      </c>
      <c r="G9" s="8" t="n"/>
      <c r="H9" s="4" t="inlineStr">
        <is>
          <t>Needs review</t>
        </is>
      </c>
      <c r="I9" s="4" t="inlineStr">
        <is>
          <t>JPG/PNG/WebP. Keep original resolution; do not upscale to imply extra detail.</t>
        </is>
      </c>
    </row>
    <row r="10" ht="46" customHeight="1">
      <c r="A10" s="4" t="inlineStr">
        <is>
          <t>logo_client</t>
        </is>
      </c>
      <c r="B10" s="4" t="inlineStr">
        <is>
          <t>Additional client logo</t>
        </is>
      </c>
      <c r="C10" s="4" t="inlineStr">
        <is>
          <t>Optional</t>
        </is>
      </c>
      <c r="D10" s="4" t="n"/>
      <c r="E10" s="4" t="n"/>
      <c r="F10" s="4" t="n"/>
      <c r="G10" s="8" t="n"/>
      <c r="H10" s="4" t="inlineStr">
        <is>
          <t>Not reported</t>
        </is>
      </c>
      <c r="I10" s="4" t="inlineStr">
        <is>
          <t>JPG/PNG/WebP. Keep original resolution; do not upscale to imply extra detail.</t>
        </is>
      </c>
    </row>
    <row r="11" ht="46" customHeight="1">
      <c r="A11" s="4" t="inlineStr">
        <is>
          <t>logo_contractor</t>
        </is>
      </c>
      <c r="B11" s="4" t="inlineStr">
        <is>
          <t>Additional contractor logo</t>
        </is>
      </c>
      <c r="C11" s="4" t="inlineStr">
        <is>
          <t>Optional</t>
        </is>
      </c>
      <c r="D11" s="4" t="n"/>
      <c r="E11" s="4" t="n"/>
      <c r="F11" s="4" t="n"/>
      <c r="G11" s="8" t="n"/>
      <c r="H11" s="4" t="inlineStr">
        <is>
          <t>Not reported</t>
        </is>
      </c>
      <c r="I11" s="4" t="inlineStr">
        <is>
          <t>JPG/PNG/WebP. Keep original resolution; do not upscale to imply extra detail.</t>
        </is>
      </c>
    </row>
    <row r="12" ht="46" customHeight="1">
      <c r="A12" s="4" t="inlineStr">
        <is>
          <t>status_drawing</t>
        </is>
      </c>
      <c r="B12" s="4" t="inlineStr">
        <is>
          <t>Activity-status drawing</t>
        </is>
      </c>
      <c r="C12" s="4" t="inlineStr">
        <is>
          <t>If reported</t>
        </is>
      </c>
      <c r="D12" s="4" t="n"/>
      <c r="E12" s="4" t="n"/>
      <c r="F12" s="4" t="n"/>
      <c r="G12" s="8" t="n"/>
      <c r="H12" s="4" t="inlineStr">
        <is>
          <t>Not reported</t>
        </is>
      </c>
      <c r="I12" s="4" t="inlineStr">
        <is>
          <t>JPG/PNG/WebP. Keep original resolution; do not upscale to imply extra detail.</t>
        </is>
      </c>
    </row>
    <row r="13" ht="46" customHeight="1">
      <c r="A13" s="4" t="inlineStr">
        <is>
          <t>s_curve</t>
        </is>
      </c>
      <c r="B13" s="4" t="inlineStr">
        <is>
          <t>Original S-curve image</t>
        </is>
      </c>
      <c r="C13" s="4" t="inlineStr">
        <is>
          <t>If chart table unreadable</t>
        </is>
      </c>
      <c r="D13" s="4" t="n"/>
      <c r="E13" s="4" t="n"/>
      <c r="F13" s="4" t="n"/>
      <c r="G13" s="8" t="n"/>
      <c r="H13" s="4" t="inlineStr">
        <is>
          <t>Not reported</t>
        </is>
      </c>
      <c r="I13" s="4" t="inlineStr">
        <is>
          <t>Interactive chart is populated from Monthly_Schedule, not a picture.</t>
        </is>
      </c>
    </row>
  </sheetData>
  <mergeCells count="2">
    <mergeCell ref="A1:I1"/>
    <mergeCell ref="A2:I2"/>
  </mergeCells>
  <dataValidations count="1">
    <dataValidation sqref="H4:H13" showDropDown="0" showInputMessage="0" showErrorMessage="1" allowBlank="1" errorTitle="Choose a listed value" error="Use the dropdown choices." type="list">
      <formula1>"Not reported,Not applicable,Entered,Needs review,Verified"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100" customWidth="1" min="3" max="3"/>
  </cols>
  <sheetData>
    <row r="1" ht="30" customHeight="1">
      <c r="A1" s="1" t="inlineStr">
        <is>
          <t>Review checklist and calculated comparisons</t>
        </is>
      </c>
    </row>
    <row r="2" ht="48" customHeight="1">
      <c r="A2" s="2" t="inlineStr">
        <is>
          <t>Checks are not a certification of accuracy. Formula results calculate when opened in Excel.</t>
        </is>
      </c>
    </row>
    <row r="3" ht="32" customHeight="1">
      <c r="A3" s="3" t="inlineStr">
        <is>
          <t>Check</t>
        </is>
      </c>
      <c r="B3" s="3" t="inlineStr">
        <is>
          <t>Result</t>
        </is>
      </c>
      <c r="C3" s="3" t="inlineStr">
        <is>
          <t>Reviewer guidance</t>
        </is>
      </c>
    </row>
    <row r="4" ht="46" customHeight="1">
      <c r="A4" s="4" t="inlineStr">
        <is>
          <t>Physical actual minus planned</t>
        </is>
      </c>
      <c r="B4" s="12">
        <f>IF(COUNT('Progress_Finance'!C5,'Progress_Finance'!C4)=2,'Progress_Finance'!C5-'Progress_Finance'!C4,"Not reported")</f>
        <v/>
      </c>
      <c r="C4" s="4" t="inlineStr">
        <is>
          <t>Percentage points; compare with the printed physical variance.</t>
        </is>
      </c>
    </row>
    <row r="5" ht="46" customHeight="1">
      <c r="A5" s="4" t="inlineStr">
        <is>
          <t>Financial actual minus planned</t>
        </is>
      </c>
      <c r="B5" s="12">
        <f>IF(COUNT('Progress_Finance'!C12,'Progress_Finance'!C11)=2,'Progress_Finance'!C12-'Progress_Finance'!C11,"Not reported")</f>
        <v/>
      </c>
      <c r="C5" s="4" t="inlineStr">
        <is>
          <t>Sample result -4.39; source prints +4.39. Confirm convention.</t>
        </is>
      </c>
    </row>
    <row r="6" ht="46" customHeight="1">
      <c r="A6" s="4" t="inlineStr">
        <is>
          <t>Elapsed + remaining - construction</t>
        </is>
      </c>
      <c r="B6" s="12">
        <f>IF(COUNT('Contract_Dates'!C21,'Contract_Dates'!C22,'Contract_Dates'!C16)=3,'Contract_Dates'!C21+'Contract_Dates'!C22-'Contract_Dates'!C16,"Not reported")</f>
        <v/>
      </c>
      <c r="C6" s="4" t="inlineStr">
        <is>
          <t>Zero means reported durations reconcile. Sample: 636 + 33 = 669.</t>
        </is>
      </c>
    </row>
    <row r="7" ht="46" customHeight="1">
      <c r="A7" s="4" t="inlineStr">
        <is>
          <t>Original including contingency minus components</t>
        </is>
      </c>
      <c r="B7" s="12">
        <f>IF(COUNT('Contract_Dates'!C7,'Contract_Dates'!C5,'Contract_Dates'!C6)=3,'Contract_Dates'!C7-'Contract_Dates'!C5-'Contract_Dates'!C6,"Not reported")</f>
        <v/>
      </c>
      <c r="C7" s="4" t="inlineStr">
        <is>
          <t>Zero means monetary components reconcile.</t>
        </is>
      </c>
    </row>
    <row r="8" ht="46" customHeight="1">
      <c r="A8" s="4" t="inlineStr">
        <is>
          <t>Days between original start and completion</t>
        </is>
      </c>
      <c r="B8" s="12">
        <f>IF(COUNT('Contract_Dates'!C18,'Contract_Dates'!C17)=2,'Contract_Dates'!C18-'Contract_Dates'!C17,"Not reported")</f>
        <v/>
      </c>
      <c r="C8" s="4" t="inlineStr">
        <is>
          <t>Calendar subtraction, excluding the starting day. Compare with contractual counting rules, not an automatic error.</t>
        </is>
      </c>
    </row>
    <row r="9" ht="46" customHeight="1">
      <c r="A9" s="4" t="inlineStr">
        <is>
          <t>Source schedule readability</t>
        </is>
      </c>
      <c r="B9" s="4" t="inlineStr">
        <is>
          <t>MANUAL CHECK</t>
        </is>
      </c>
      <c r="C9" s="4" t="inlineStr">
        <is>
          <t>Tiny chart table in sample was not transcribed. Supply original data or source image.</t>
        </is>
      </c>
    </row>
    <row r="10" ht="46" customHeight="1">
      <c r="A10" s="4" t="inlineStr">
        <is>
          <t>Project identity and reporting month</t>
        </is>
      </c>
      <c r="B10" s="4" t="inlineStr">
        <is>
          <t>MANUAL CHECK</t>
        </is>
      </c>
      <c r="C10" s="4" t="inlineStr">
        <is>
          <t>Confirm uploaded PDF, workbook and selected existing project all match.</t>
        </is>
      </c>
    </row>
    <row r="11" ht="46" customHeight="1">
      <c r="A11" s="4" t="inlineStr">
        <is>
          <t>Images and captions</t>
        </is>
      </c>
      <c r="B11" s="4" t="inlineStr">
        <is>
          <t>MANUAL CHECK</t>
        </is>
      </c>
      <c r="C11" s="4" t="inlineStr">
        <is>
          <t>Check main logo, layout, all four photos and any supplemental drawings.</t>
        </is>
      </c>
    </row>
    <row r="12" ht="46" customHeight="1">
      <c r="A12" s="4" t="inlineStr">
        <is>
          <t>Publication approval</t>
        </is>
      </c>
      <c r="B12" s="4" t="inlineStr">
        <is>
          <t>NOT APPROVED — DUMMY DATA</t>
        </is>
      </c>
      <c r="C12" s="4" t="inlineStr">
        <is>
          <t>Preview and approve inside the app after resolving all required fields and review issues.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2026-09-13T10:48:22Z</dcterms:created>
  <dcterms:modified xsi:type="dcterms:W3CDTF">2026-09-21T04:21:09Z</dcterms:modified>
</cp:coreProperties>
</file>